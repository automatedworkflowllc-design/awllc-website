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Schedule" sheetId="3" state="visible" r:id="rId3"/>
    <sheet xmlns:r="http://schemas.openxmlformats.org/officeDocument/2006/relationships" name="Estim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0.0"/>
  </numFmts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C5645"/>
      <sz val="10"/>
    </font>
    <font>
      <b val="1"/>
      <color rgb="00FFFFFF"/>
    </font>
    <font>
      <b val="1"/>
    </font>
    <font>
      <b val="1"/>
      <color rgb="001E7A47"/>
    </font>
    <font>
      <color rgb="005C5645"/>
      <sz val="10"/>
    </font>
    <font>
      <i val="1"/>
      <color rgb="006E6555"/>
      <sz val="9"/>
    </font>
    <font>
      <color rgb="005C5645"/>
    </font>
    <font>
      <b val="1"/>
      <sz val="10"/>
    </font>
    <font>
      <b val="1"/>
      <color rgb="00211D14"/>
      <sz val="11"/>
    </font>
  </fonts>
  <fills count="4">
    <fill>
      <patternFill/>
    </fill>
    <fill>
      <patternFill patternType="gray125"/>
    </fill>
    <fill>
      <patternFill patternType="solid">
        <fgColor rgb="00211D14"/>
      </patternFill>
    </fill>
    <fill>
      <patternFill patternType="solid">
        <fgColor rgb="00F4F1E8"/>
      </patternFill>
    </fill>
  </fills>
  <borders count="2">
    <border>
      <left/>
      <right/>
      <top/>
      <bottom/>
      <diagonal/>
    </border>
    <border>
      <bottom style="thin">
        <color rgb="00E4DFD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10" fontId="5" fillId="3" borderId="0" pivotButton="0" quotePrefix="0" xfId="0"/>
    <xf numFmtId="164" fontId="5" fillId="3" borderId="0" pivotButton="0" quotePrefix="0" xfId="0"/>
    <xf numFmtId="0" fontId="7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165" fontId="0" fillId="0" borderId="1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166" fontId="4" fillId="3" borderId="1" pivotButton="0" quotePrefix="0" xfId="0"/>
    <xf numFmtId="166" fontId="0" fillId="0" borderId="1" pivotButton="0" quotePrefix="0" xfId="0"/>
    <xf numFmtId="0" fontId="3" fillId="2" borderId="0" pivotButton="0" quotePrefix="0" xfId="0"/>
    <xf numFmtId="166" fontId="3" fillId="2" borderId="0" pivotButton="0" quotePrefix="0" xfId="0"/>
    <xf numFmtId="165" fontId="3" fillId="2" borderId="0" pivotButton="0" quotePrefix="0" xfId="0"/>
    <xf numFmtId="0" fontId="4" fillId="3" borderId="0" pivotButton="0" quotePrefix="0" xfId="0"/>
    <xf numFmtId="164" fontId="0" fillId="3" borderId="0" pivotButton="0" quotePrefix="0" xfId="0"/>
    <xf numFmtId="0" fontId="0" fillId="3" borderId="0" pivotButton="0" quotePrefix="0" xfId="0"/>
    <xf numFmtId="165" fontId="0" fillId="3" borderId="0" pivotButton="0" quotePrefix="0" xfId="0"/>
    <xf numFmtId="165" fontId="4" fillId="3" borderId="0" pivotButton="0" quotePrefix="0" xfId="0"/>
    <xf numFmtId="0" fontId="9" fillId="3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74" customWidth="1" min="4" max="4"/>
  </cols>
  <sheetData>
    <row r="1" ht="30" customHeight="1">
      <c r="A1" s="1" t="inlineStr">
        <is>
          <t>SETTINGS  (the only assumptions in this workbook — change them here)</t>
        </is>
      </c>
      <c r="B1" s="2" t="n"/>
      <c r="C1" s="2" t="n"/>
      <c r="D1" s="2" t="n"/>
    </row>
    <row r="2">
      <c r="A2" s="3" t="inlineStr">
        <is>
          <t>Every other tab reads these cells. Nothing below is hard-coded anywhere else, so correcting a rate here corrects the whole file.</t>
        </is>
      </c>
    </row>
    <row r="4" ht="30" customHeight="1">
      <c r="A4" s="4" t="inlineStr">
        <is>
          <t>Setting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What it does / why it is yours to set</t>
        </is>
      </c>
    </row>
    <row r="5" ht="34" customHeight="1">
      <c r="A5" s="5" t="inlineStr">
        <is>
          <t>Pay periods per year</t>
        </is>
      </c>
      <c r="B5" s="6" t="n">
        <v>26</v>
      </c>
      <c r="C5" s="7" t="inlineStr">
        <is>
          <t>periods</t>
        </is>
      </c>
      <c r="D5" s="8" t="inlineStr">
        <is>
          <t>26 = fortnightly. Use 24 for semi-monthly, 52 for weekly. Salaried pay is divided by this.</t>
        </is>
      </c>
    </row>
    <row r="6" ht="34" customHeight="1">
      <c r="A6" s="5" t="inlineStr">
        <is>
          <t>Overtime threshold</t>
        </is>
      </c>
      <c r="B6" s="6" t="n">
        <v>40</v>
      </c>
      <c r="C6" s="7" t="inlineStr">
        <is>
          <t>hours/week</t>
        </is>
      </c>
      <c r="D6" s="8" t="inlineStr">
        <is>
          <t>Hours above this in a single week are paid at the multiplier below. FLSA default is 40; some states are stricter.</t>
        </is>
      </c>
    </row>
    <row r="7" ht="34" customHeight="1">
      <c r="A7" s="5" t="inlineStr">
        <is>
          <t>Overtime multiplier</t>
        </is>
      </c>
      <c r="B7" s="6" t="n">
        <v>1.5</v>
      </c>
      <c r="C7" s="7" t="inlineStr">
        <is>
          <t>× base rate</t>
        </is>
      </c>
      <c r="D7" s="8" t="inlineStr">
        <is>
          <t>1.5 = time-and-a-half.</t>
        </is>
      </c>
    </row>
    <row r="8" ht="34" customHeight="1">
      <c r="A8" s="5" t="inlineStr">
        <is>
          <t>Employer burden rate</t>
        </is>
      </c>
      <c r="B8" s="9" t="n">
        <v>0.092</v>
      </c>
      <c r="C8" s="7" t="inlineStr">
        <is>
          <t>of gross</t>
        </is>
      </c>
      <c r="D8" s="8" t="inlineStr">
        <is>
          <t>YOUR number, not one this file invented. Employer-side payroll taxes only (FICA 7.65% + your FUTA/SUTA). It does NOT include benefits, workers' comp or retirement match — add those to Payroll goal, or raise this rate knowingly.</t>
        </is>
      </c>
    </row>
    <row r="9" ht="34" customHeight="1">
      <c r="A9" s="5" t="inlineStr">
        <is>
          <t>Payroll goal (per period)</t>
        </is>
      </c>
      <c r="B9" s="10" t="n">
        <v>34000</v>
      </c>
      <c r="C9" s="7" t="inlineStr">
        <is>
          <t>$</t>
        </is>
      </c>
      <c r="D9" s="8" t="inlineStr">
        <is>
          <t>What you are trying to stay under. The Estimate tab compares against this and says by how much, not just whether.</t>
        </is>
      </c>
    </row>
    <row r="12">
      <c r="A12" s="11" t="inlineStr">
        <is>
          <t>Built by Automated Workflow  ·  automatedworkflowllc.com  ·  Payroll Estimator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5" customWidth="1" min="4" max="4"/>
    <col width="13" customWidth="1" min="5" max="5"/>
    <col width="20" customWidth="1" min="6" max="6"/>
  </cols>
  <sheetData>
    <row r="1" ht="30" customHeight="1">
      <c r="A1" s="1" t="inlineStr">
        <is>
          <t>STAFF  (one row per person — the only place a rate is typed)</t>
        </is>
      </c>
      <c r="B1" s="2" t="n"/>
      <c r="C1" s="2" t="n"/>
      <c r="D1" s="2" t="n"/>
      <c r="E1" s="2" t="n"/>
      <c r="F1" s="2" t="n"/>
    </row>
    <row r="2">
      <c r="A2" s="3" t="inlineStr">
        <is>
          <t>SAMPLE DATA — every name, role and figure below is invented. Replace them with your own. Salaried people need an annual salary; hourly people need an hourly rate.</t>
        </is>
      </c>
    </row>
    <row r="4" ht="30" customHeight="1">
      <c r="A4" s="4" t="inlineStr">
        <is>
          <t>Employee</t>
        </is>
      </c>
      <c r="B4" s="4" t="inlineStr">
        <is>
          <t>Role</t>
        </is>
      </c>
      <c r="C4" s="4" t="inlineStr">
        <is>
          <t>Type</t>
        </is>
      </c>
      <c r="D4" s="4" t="inlineStr">
        <is>
          <t>Annual salary</t>
        </is>
      </c>
      <c r="E4" s="4" t="inlineStr">
        <is>
          <t>Hourly rate</t>
        </is>
      </c>
      <c r="F4" s="4" t="inlineStr">
        <is>
          <t>Per-period base pay</t>
        </is>
      </c>
    </row>
    <row r="5">
      <c r="A5" s="12" t="inlineStr">
        <is>
          <t>Dr. A. Whitfield</t>
        </is>
      </c>
      <c r="B5" s="12" t="inlineStr">
        <is>
          <t>Dentist</t>
        </is>
      </c>
      <c r="C5" s="12" t="inlineStr">
        <is>
          <t>Salaried</t>
        </is>
      </c>
      <c r="D5" s="13" t="n">
        <v>185000</v>
      </c>
      <c r="E5" s="14" t="inlineStr">
        <is>
          <t>—</t>
        </is>
      </c>
      <c r="F5" s="15">
        <f>IF(C5="Salaried",D5/Settings!$B$5,0)</f>
        <v/>
      </c>
    </row>
    <row r="6">
      <c r="A6" s="12" t="inlineStr">
        <is>
          <t>M. Okafor</t>
        </is>
      </c>
      <c r="B6" s="12" t="inlineStr">
        <is>
          <t>Practice Manager</t>
        </is>
      </c>
      <c r="C6" s="12" t="inlineStr">
        <is>
          <t>Salaried</t>
        </is>
      </c>
      <c r="D6" s="13" t="n">
        <v>72000</v>
      </c>
      <c r="E6" s="14" t="inlineStr">
        <is>
          <t>—</t>
        </is>
      </c>
      <c r="F6" s="15">
        <f>IF(C6="Salaried",D6/Settings!$B$5,0)</f>
        <v/>
      </c>
    </row>
    <row r="7">
      <c r="A7" s="12" t="inlineStr">
        <is>
          <t>L. Ferrara</t>
        </is>
      </c>
      <c r="B7" s="12" t="inlineStr">
        <is>
          <t>Lead Hygienist</t>
        </is>
      </c>
      <c r="C7" s="12" t="inlineStr">
        <is>
          <t>Salaried</t>
        </is>
      </c>
      <c r="D7" s="13" t="n">
        <v>88000</v>
      </c>
      <c r="E7" s="14" t="inlineStr">
        <is>
          <t>—</t>
        </is>
      </c>
      <c r="F7" s="15">
        <f>IF(C7="Salaried",D7/Settings!$B$5,0)</f>
        <v/>
      </c>
    </row>
    <row r="8">
      <c r="A8" s="12" t="inlineStr">
        <is>
          <t>D. Marchetti</t>
        </is>
      </c>
      <c r="B8" s="12" t="inlineStr">
        <is>
          <t>Hygienist</t>
        </is>
      </c>
      <c r="C8" s="12" t="inlineStr">
        <is>
          <t>Hourly</t>
        </is>
      </c>
      <c r="D8" s="14" t="inlineStr">
        <is>
          <t>—</t>
        </is>
      </c>
      <c r="E8" s="15" t="n">
        <v>42</v>
      </c>
      <c r="F8" s="14" t="inlineStr">
        <is>
          <t>—</t>
        </is>
      </c>
    </row>
    <row r="9">
      <c r="A9" s="12" t="inlineStr">
        <is>
          <t>J. Alvarez</t>
        </is>
      </c>
      <c r="B9" s="12" t="inlineStr">
        <is>
          <t>Dental Assistant</t>
        </is>
      </c>
      <c r="C9" s="12" t="inlineStr">
        <is>
          <t>Hourly</t>
        </is>
      </c>
      <c r="D9" s="14" t="inlineStr">
        <is>
          <t>—</t>
        </is>
      </c>
      <c r="E9" s="15" t="n">
        <v>24</v>
      </c>
      <c r="F9" s="14" t="inlineStr">
        <is>
          <t>—</t>
        </is>
      </c>
    </row>
    <row r="10">
      <c r="A10" s="12" t="inlineStr">
        <is>
          <t>P. Nakamura</t>
        </is>
      </c>
      <c r="B10" s="12" t="inlineStr">
        <is>
          <t>Dental Assistant</t>
        </is>
      </c>
      <c r="C10" s="12" t="inlineStr">
        <is>
          <t>Hourly</t>
        </is>
      </c>
      <c r="D10" s="14" t="inlineStr">
        <is>
          <t>—</t>
        </is>
      </c>
      <c r="E10" s="15" t="n">
        <v>22.5</v>
      </c>
      <c r="F10" s="14" t="inlineStr">
        <is>
          <t>—</t>
        </is>
      </c>
    </row>
    <row r="11">
      <c r="A11" s="12" t="inlineStr">
        <is>
          <t>K. Osei</t>
        </is>
      </c>
      <c r="B11" s="12" t="inlineStr">
        <is>
          <t>Scheduling Coordinator</t>
        </is>
      </c>
      <c r="C11" s="12" t="inlineStr">
        <is>
          <t>Hourly</t>
        </is>
      </c>
      <c r="D11" s="14" t="inlineStr">
        <is>
          <t>—</t>
        </is>
      </c>
      <c r="E11" s="15" t="n">
        <v>20</v>
      </c>
      <c r="F11" s="14" t="inlineStr">
        <is>
          <t>—</t>
        </is>
      </c>
    </row>
    <row r="12">
      <c r="A12" s="12" t="inlineStr">
        <is>
          <t>R. Ellison</t>
        </is>
      </c>
      <c r="B12" s="12" t="inlineStr">
        <is>
          <t>Front Desk</t>
        </is>
      </c>
      <c r="C12" s="12" t="inlineStr">
        <is>
          <t>Hourly</t>
        </is>
      </c>
      <c r="D12" s="14" t="inlineStr">
        <is>
          <t>—</t>
        </is>
      </c>
      <c r="E12" s="15" t="n">
        <v>19</v>
      </c>
      <c r="F12" s="14" t="inlineStr">
        <is>
          <t>—</t>
        </is>
      </c>
    </row>
    <row r="13">
      <c r="A13" s="12" t="inlineStr">
        <is>
          <t>T. Boateng</t>
        </is>
      </c>
      <c r="B13" s="12" t="inlineStr">
        <is>
          <t>Front Desk</t>
        </is>
      </c>
      <c r="C13" s="12" t="inlineStr">
        <is>
          <t>Hourly</t>
        </is>
      </c>
      <c r="D13" s="14" t="inlineStr">
        <is>
          <t>—</t>
        </is>
      </c>
      <c r="E13" s="15" t="n">
        <v>18.5</v>
      </c>
      <c r="F13" s="14" t="inlineStr">
        <is>
          <t>—</t>
        </is>
      </c>
    </row>
    <row r="14">
      <c r="A14" s="12" t="inlineStr">
        <is>
          <t>S. Kowalski</t>
        </is>
      </c>
      <c r="B14" s="12" t="inlineStr">
        <is>
          <t>Sterilization Tech</t>
        </is>
      </c>
      <c r="C14" s="12" t="inlineStr">
        <is>
          <t>Hourly</t>
        </is>
      </c>
      <c r="D14" s="14" t="inlineStr">
        <is>
          <t>—</t>
        </is>
      </c>
      <c r="E14" s="15" t="n">
        <v>17</v>
      </c>
      <c r="F14" s="14" t="inlineStr">
        <is>
          <t>—</t>
        </is>
      </c>
    </row>
    <row r="17">
      <c r="A17" s="11" t="inlineStr">
        <is>
          <t>Built by Automated Workflow  ·  automatedworkflowllc.com  ·  Payroll Estimator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</cols>
  <sheetData>
    <row r="1" ht="30" customHeight="1">
      <c r="A1" s="1" t="inlineStr">
        <is>
          <t>SCHEDULE  (type next period's hours — this is the whole input)</t>
        </is>
      </c>
      <c r="B1" s="2" t="n"/>
      <c r="C1" s="2" t="n"/>
      <c r="D1" s="2" t="n"/>
    </row>
    <row r="2">
      <c r="A2" s="3" t="inlineStr">
        <is>
          <t>Hours for the UPCOMING period, not hours already worked. That is the point of the file: it costs the schedule while you can still change it. Salaried staff are listed for completeness — their hours do not change their pay, and the Estimate tab does not pretend otherwise.</t>
        </is>
      </c>
    </row>
    <row r="4" ht="30" customHeight="1">
      <c r="A4" s="4" t="inlineStr">
        <is>
          <t>Employee</t>
        </is>
      </c>
      <c r="B4" s="4" t="inlineStr">
        <is>
          <t>Type</t>
        </is>
      </c>
      <c r="C4" s="4" t="inlineStr">
        <is>
          <t>Week 1 hours</t>
        </is>
      </c>
      <c r="D4" s="4" t="inlineStr">
        <is>
          <t>Week 2 hours</t>
        </is>
      </c>
    </row>
    <row r="5">
      <c r="A5" s="16" t="inlineStr">
        <is>
          <t>Dr. A. Whitfield</t>
        </is>
      </c>
      <c r="B5" s="16" t="inlineStr">
        <is>
          <t>Salaried</t>
        </is>
      </c>
      <c r="C5" s="17" t="inlineStr">
        <is>
          <t>—</t>
        </is>
      </c>
      <c r="D5" s="17" t="inlineStr">
        <is>
          <t>—</t>
        </is>
      </c>
    </row>
    <row r="6">
      <c r="A6" s="16" t="inlineStr">
        <is>
          <t>M. Okafor</t>
        </is>
      </c>
      <c r="B6" s="16" t="inlineStr">
        <is>
          <t>Salaried</t>
        </is>
      </c>
      <c r="C6" s="17" t="inlineStr">
        <is>
          <t>—</t>
        </is>
      </c>
      <c r="D6" s="17" t="inlineStr">
        <is>
          <t>—</t>
        </is>
      </c>
    </row>
    <row r="7">
      <c r="A7" s="16" t="inlineStr">
        <is>
          <t>L. Ferrara</t>
        </is>
      </c>
      <c r="B7" s="16" t="inlineStr">
        <is>
          <t>Salaried</t>
        </is>
      </c>
      <c r="C7" s="17" t="inlineStr">
        <is>
          <t>—</t>
        </is>
      </c>
      <c r="D7" s="17" t="inlineStr">
        <is>
          <t>—</t>
        </is>
      </c>
    </row>
    <row r="8">
      <c r="A8" s="12" t="inlineStr">
        <is>
          <t>D. Marchetti</t>
        </is>
      </c>
      <c r="B8" s="12" t="inlineStr">
        <is>
          <t>Hourly</t>
        </is>
      </c>
      <c r="C8" s="18" t="n">
        <v>32</v>
      </c>
      <c r="D8" s="18" t="n">
        <v>32</v>
      </c>
    </row>
    <row r="9">
      <c r="A9" s="12" t="inlineStr">
        <is>
          <t>J. Alvarez</t>
        </is>
      </c>
      <c r="B9" s="12" t="inlineStr">
        <is>
          <t>Hourly</t>
        </is>
      </c>
      <c r="C9" s="18" t="n">
        <v>40</v>
      </c>
      <c r="D9" s="18" t="n">
        <v>44</v>
      </c>
    </row>
    <row r="10">
      <c r="A10" s="12" t="inlineStr">
        <is>
          <t>P. Nakamura</t>
        </is>
      </c>
      <c r="B10" s="12" t="inlineStr">
        <is>
          <t>Hourly</t>
        </is>
      </c>
      <c r="C10" s="18" t="n">
        <v>38</v>
      </c>
      <c r="D10" s="18" t="n">
        <v>40</v>
      </c>
    </row>
    <row r="11">
      <c r="A11" s="12" t="inlineStr">
        <is>
          <t>K. Osei</t>
        </is>
      </c>
      <c r="B11" s="12" t="inlineStr">
        <is>
          <t>Hourly</t>
        </is>
      </c>
      <c r="C11" s="18" t="n">
        <v>40</v>
      </c>
      <c r="D11" s="18" t="n">
        <v>40</v>
      </c>
    </row>
    <row r="12">
      <c r="A12" s="12" t="inlineStr">
        <is>
          <t>R. Ellison</t>
        </is>
      </c>
      <c r="B12" s="12" t="inlineStr">
        <is>
          <t>Hourly</t>
        </is>
      </c>
      <c r="C12" s="18" t="n">
        <v>32</v>
      </c>
      <c r="D12" s="18" t="n">
        <v>36</v>
      </c>
    </row>
    <row r="13">
      <c r="A13" s="12" t="inlineStr">
        <is>
          <t>T. Boateng</t>
        </is>
      </c>
      <c r="B13" s="12" t="inlineStr">
        <is>
          <t>Hourly</t>
        </is>
      </c>
      <c r="C13" s="18" t="n">
        <v>24</v>
      </c>
      <c r="D13" s="18" t="n">
        <v>28</v>
      </c>
    </row>
    <row r="14">
      <c r="A14" s="12" t="inlineStr">
        <is>
          <t>S. Kowalski</t>
        </is>
      </c>
      <c r="B14" s="12" t="inlineStr">
        <is>
          <t>Hourly</t>
        </is>
      </c>
      <c r="C14" s="18" t="n">
        <v>20</v>
      </c>
      <c r="D14" s="18" t="n">
        <v>20</v>
      </c>
    </row>
    <row r="17">
      <c r="A17" s="11" t="inlineStr">
        <is>
          <t>Built by Automated Workflow  ·  automatedworkflowllc.com  ·  Payroll Estimator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 ht="30" customHeight="1">
      <c r="A1" s="1" t="inlineStr">
        <is>
          <t>ESTIMATE  (every cell below is a formula — nothing here is typed)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Overtime is computed PER WEEK, not on the fortnight total. Someone who works 44 hours then 36 has 4 hours of overtime, not zero — averaging the two weeks would hide it, and that is the single most common way a payroll estimate comes in low.</t>
        </is>
      </c>
    </row>
    <row r="4" ht="30" customHeight="1">
      <c r="A4" s="4" t="inlineStr">
        <is>
          <t>Employee</t>
        </is>
      </c>
      <c r="B4" s="4" t="inlineStr">
        <is>
          <t>Type</t>
        </is>
      </c>
      <c r="C4" s="4" t="inlineStr">
        <is>
          <t>Regular hrs</t>
        </is>
      </c>
      <c r="D4" s="4" t="inlineStr">
        <is>
          <t>Overtime hrs</t>
        </is>
      </c>
      <c r="E4" s="4" t="inlineStr">
        <is>
          <t>Base pay</t>
        </is>
      </c>
      <c r="F4" s="4" t="inlineStr">
        <is>
          <t>Overtime pay</t>
        </is>
      </c>
      <c r="G4" s="4" t="inlineStr">
        <is>
          <t>Gross</t>
        </is>
      </c>
      <c r="H4" s="4" t="inlineStr">
        <is>
          <t>Employer cost</t>
        </is>
      </c>
    </row>
    <row r="5">
      <c r="A5" s="12">
        <f>Staff!A5</f>
        <v/>
      </c>
      <c r="B5" s="12">
        <f>Staff!C5</f>
        <v/>
      </c>
      <c r="C5" s="19">
        <f>IF(B5="Salaried",0,MIN(Schedule!C5,Settings!$B$6)+MIN(Schedule!D5,Settings!$B$6))</f>
        <v/>
      </c>
      <c r="D5" s="19">
        <f>IF(B5="Salaried",0,MAX(0,Schedule!C5-Settings!$B$6)+MAX(0,Schedule!D5-Settings!$B$6))</f>
        <v/>
      </c>
      <c r="E5" s="15">
        <f>IF(B5="Salaried",Staff!F5,C5*Staff!E5)</f>
        <v/>
      </c>
      <c r="F5" s="15">
        <f>IF(B5="Salaried",0,D5*Staff!E5*Settings!$B$7)</f>
        <v/>
      </c>
      <c r="G5" s="15">
        <f>E5+F5</f>
        <v/>
      </c>
      <c r="H5" s="15">
        <f>G5*(1+Settings!$B$8)</f>
        <v/>
      </c>
    </row>
    <row r="6">
      <c r="A6" s="12">
        <f>Staff!A6</f>
        <v/>
      </c>
      <c r="B6" s="12">
        <f>Staff!C6</f>
        <v/>
      </c>
      <c r="C6" s="19">
        <f>IF(B6="Salaried",0,MIN(Schedule!C6,Settings!$B$6)+MIN(Schedule!D6,Settings!$B$6))</f>
        <v/>
      </c>
      <c r="D6" s="19">
        <f>IF(B6="Salaried",0,MAX(0,Schedule!C6-Settings!$B$6)+MAX(0,Schedule!D6-Settings!$B$6))</f>
        <v/>
      </c>
      <c r="E6" s="15">
        <f>IF(B6="Salaried",Staff!F6,C6*Staff!E6)</f>
        <v/>
      </c>
      <c r="F6" s="15">
        <f>IF(B6="Salaried",0,D6*Staff!E6*Settings!$B$7)</f>
        <v/>
      </c>
      <c r="G6" s="15">
        <f>E6+F6</f>
        <v/>
      </c>
      <c r="H6" s="15">
        <f>G6*(1+Settings!$B$8)</f>
        <v/>
      </c>
    </row>
    <row r="7">
      <c r="A7" s="12">
        <f>Staff!A7</f>
        <v/>
      </c>
      <c r="B7" s="12">
        <f>Staff!C7</f>
        <v/>
      </c>
      <c r="C7" s="19">
        <f>IF(B7="Salaried",0,MIN(Schedule!C7,Settings!$B$6)+MIN(Schedule!D7,Settings!$B$6))</f>
        <v/>
      </c>
      <c r="D7" s="19">
        <f>IF(B7="Salaried",0,MAX(0,Schedule!C7-Settings!$B$6)+MAX(0,Schedule!D7-Settings!$B$6))</f>
        <v/>
      </c>
      <c r="E7" s="15">
        <f>IF(B7="Salaried",Staff!F7,C7*Staff!E7)</f>
        <v/>
      </c>
      <c r="F7" s="15">
        <f>IF(B7="Salaried",0,D7*Staff!E7*Settings!$B$7)</f>
        <v/>
      </c>
      <c r="G7" s="15">
        <f>E7+F7</f>
        <v/>
      </c>
      <c r="H7" s="15">
        <f>G7*(1+Settings!$B$8)</f>
        <v/>
      </c>
    </row>
    <row r="8">
      <c r="A8" s="12">
        <f>Staff!A8</f>
        <v/>
      </c>
      <c r="B8" s="12">
        <f>Staff!C8</f>
        <v/>
      </c>
      <c r="C8" s="19">
        <f>IF(B8="Salaried",0,MIN(Schedule!C8,Settings!$B$6)+MIN(Schedule!D8,Settings!$B$6))</f>
        <v/>
      </c>
      <c r="D8" s="19">
        <f>IF(B8="Salaried",0,MAX(0,Schedule!C8-Settings!$B$6)+MAX(0,Schedule!D8-Settings!$B$6))</f>
        <v/>
      </c>
      <c r="E8" s="15">
        <f>IF(B8="Salaried",Staff!F8,C8*Staff!E8)</f>
        <v/>
      </c>
      <c r="F8" s="15">
        <f>IF(B8="Salaried",0,D8*Staff!E8*Settings!$B$7)</f>
        <v/>
      </c>
      <c r="G8" s="15">
        <f>E8+F8</f>
        <v/>
      </c>
      <c r="H8" s="15">
        <f>G8*(1+Settings!$B$8)</f>
        <v/>
      </c>
    </row>
    <row r="9">
      <c r="A9" s="12">
        <f>Staff!A9</f>
        <v/>
      </c>
      <c r="B9" s="12">
        <f>Staff!C9</f>
        <v/>
      </c>
      <c r="C9" s="19">
        <f>IF(B9="Salaried",0,MIN(Schedule!C9,Settings!$B$6)+MIN(Schedule!D9,Settings!$B$6))</f>
        <v/>
      </c>
      <c r="D9" s="19">
        <f>IF(B9="Salaried",0,MAX(0,Schedule!C9-Settings!$B$6)+MAX(0,Schedule!D9-Settings!$B$6))</f>
        <v/>
      </c>
      <c r="E9" s="15">
        <f>IF(B9="Salaried",Staff!F9,C9*Staff!E9)</f>
        <v/>
      </c>
      <c r="F9" s="15">
        <f>IF(B9="Salaried",0,D9*Staff!E9*Settings!$B$7)</f>
        <v/>
      </c>
      <c r="G9" s="15">
        <f>E9+F9</f>
        <v/>
      </c>
      <c r="H9" s="15">
        <f>G9*(1+Settings!$B$8)</f>
        <v/>
      </c>
    </row>
    <row r="10">
      <c r="A10" s="12">
        <f>Staff!A10</f>
        <v/>
      </c>
      <c r="B10" s="12">
        <f>Staff!C10</f>
        <v/>
      </c>
      <c r="C10" s="19">
        <f>IF(B10="Salaried",0,MIN(Schedule!C10,Settings!$B$6)+MIN(Schedule!D10,Settings!$B$6))</f>
        <v/>
      </c>
      <c r="D10" s="19">
        <f>IF(B10="Salaried",0,MAX(0,Schedule!C10-Settings!$B$6)+MAX(0,Schedule!D10-Settings!$B$6))</f>
        <v/>
      </c>
      <c r="E10" s="15">
        <f>IF(B10="Salaried",Staff!F10,C10*Staff!E10)</f>
        <v/>
      </c>
      <c r="F10" s="15">
        <f>IF(B10="Salaried",0,D10*Staff!E10*Settings!$B$7)</f>
        <v/>
      </c>
      <c r="G10" s="15">
        <f>E10+F10</f>
        <v/>
      </c>
      <c r="H10" s="15">
        <f>G10*(1+Settings!$B$8)</f>
        <v/>
      </c>
    </row>
    <row r="11">
      <c r="A11" s="12">
        <f>Staff!A11</f>
        <v/>
      </c>
      <c r="B11" s="12">
        <f>Staff!C11</f>
        <v/>
      </c>
      <c r="C11" s="19">
        <f>IF(B11="Salaried",0,MIN(Schedule!C11,Settings!$B$6)+MIN(Schedule!D11,Settings!$B$6))</f>
        <v/>
      </c>
      <c r="D11" s="19">
        <f>IF(B11="Salaried",0,MAX(0,Schedule!C11-Settings!$B$6)+MAX(0,Schedule!D11-Settings!$B$6))</f>
        <v/>
      </c>
      <c r="E11" s="15">
        <f>IF(B11="Salaried",Staff!F11,C11*Staff!E11)</f>
        <v/>
      </c>
      <c r="F11" s="15">
        <f>IF(B11="Salaried",0,D11*Staff!E11*Settings!$B$7)</f>
        <v/>
      </c>
      <c r="G11" s="15">
        <f>E11+F11</f>
        <v/>
      </c>
      <c r="H11" s="15">
        <f>G11*(1+Settings!$B$8)</f>
        <v/>
      </c>
    </row>
    <row r="12">
      <c r="A12" s="12">
        <f>Staff!A12</f>
        <v/>
      </c>
      <c r="B12" s="12">
        <f>Staff!C12</f>
        <v/>
      </c>
      <c r="C12" s="19">
        <f>IF(B12="Salaried",0,MIN(Schedule!C12,Settings!$B$6)+MIN(Schedule!D12,Settings!$B$6))</f>
        <v/>
      </c>
      <c r="D12" s="19">
        <f>IF(B12="Salaried",0,MAX(0,Schedule!C12-Settings!$B$6)+MAX(0,Schedule!D12-Settings!$B$6))</f>
        <v/>
      </c>
      <c r="E12" s="15">
        <f>IF(B12="Salaried",Staff!F12,C12*Staff!E12)</f>
        <v/>
      </c>
      <c r="F12" s="15">
        <f>IF(B12="Salaried",0,D12*Staff!E12*Settings!$B$7)</f>
        <v/>
      </c>
      <c r="G12" s="15">
        <f>E12+F12</f>
        <v/>
      </c>
      <c r="H12" s="15">
        <f>G12*(1+Settings!$B$8)</f>
        <v/>
      </c>
    </row>
    <row r="13">
      <c r="A13" s="12">
        <f>Staff!A13</f>
        <v/>
      </c>
      <c r="B13" s="12">
        <f>Staff!C13</f>
        <v/>
      </c>
      <c r="C13" s="19">
        <f>IF(B13="Salaried",0,MIN(Schedule!C13,Settings!$B$6)+MIN(Schedule!D13,Settings!$B$6))</f>
        <v/>
      </c>
      <c r="D13" s="19">
        <f>IF(B13="Salaried",0,MAX(0,Schedule!C13-Settings!$B$6)+MAX(0,Schedule!D13-Settings!$B$6))</f>
        <v/>
      </c>
      <c r="E13" s="15">
        <f>IF(B13="Salaried",Staff!F13,C13*Staff!E13)</f>
        <v/>
      </c>
      <c r="F13" s="15">
        <f>IF(B13="Salaried",0,D13*Staff!E13*Settings!$B$7)</f>
        <v/>
      </c>
      <c r="G13" s="15">
        <f>E13+F13</f>
        <v/>
      </c>
      <c r="H13" s="15">
        <f>G13*(1+Settings!$B$8)</f>
        <v/>
      </c>
    </row>
    <row r="14">
      <c r="A14" s="12">
        <f>Staff!A14</f>
        <v/>
      </c>
      <c r="B14" s="12">
        <f>Staff!C14</f>
        <v/>
      </c>
      <c r="C14" s="19">
        <f>IF(B14="Salaried",0,MIN(Schedule!C14,Settings!$B$6)+MIN(Schedule!D14,Settings!$B$6))</f>
        <v/>
      </c>
      <c r="D14" s="19">
        <f>IF(B14="Salaried",0,MAX(0,Schedule!C14-Settings!$B$6)+MAX(0,Schedule!D14-Settings!$B$6))</f>
        <v/>
      </c>
      <c r="E14" s="15">
        <f>IF(B14="Salaried",Staff!F14,C14*Staff!E14)</f>
        <v/>
      </c>
      <c r="F14" s="15">
        <f>IF(B14="Salaried",0,D14*Staff!E14*Settings!$B$7)</f>
        <v/>
      </c>
      <c r="G14" s="15">
        <f>E14+F14</f>
        <v/>
      </c>
      <c r="H14" s="15">
        <f>G14*(1+Settings!$B$8)</f>
        <v/>
      </c>
    </row>
    <row r="15">
      <c r="A15" s="20" t="inlineStr">
        <is>
          <t>TOTAL</t>
        </is>
      </c>
      <c r="B15" s="20" t="inlineStr"/>
      <c r="C15" s="21">
        <f>SUM(C5:C14)</f>
        <v/>
      </c>
      <c r="D15" s="21">
        <f>SUM(D5:D14)</f>
        <v/>
      </c>
      <c r="E15" s="22">
        <f>SUM(E5:E14)</f>
        <v/>
      </c>
      <c r="F15" s="22">
        <f>SUM(F5:F14)</f>
        <v/>
      </c>
      <c r="G15" s="22">
        <f>SUM(G5:G14)</f>
        <v/>
      </c>
      <c r="H15" s="22">
        <f>SUM(H5:H14)</f>
        <v/>
      </c>
    </row>
    <row r="17">
      <c r="A17" s="23" t="inlineStr">
        <is>
          <t>Payroll goal this period</t>
        </is>
      </c>
      <c r="C17" s="24">
        <f>Settings!$B$9</f>
        <v/>
      </c>
      <c r="D17" s="25" t="n"/>
    </row>
    <row r="18">
      <c r="A18" s="23" t="inlineStr">
        <is>
          <t>Estimated employer cost</t>
        </is>
      </c>
      <c r="C18" s="26">
        <f>H15</f>
        <v/>
      </c>
      <c r="D18" s="25" t="n"/>
    </row>
    <row r="19">
      <c r="A19" s="23" t="inlineStr">
        <is>
          <t>Difference</t>
        </is>
      </c>
      <c r="C19" s="27">
        <f>C17-C18</f>
        <v/>
      </c>
      <c r="D19" s="28">
        <f>IF(C17-C18&gt;=0,"under goal","OVER goal by this much")</f>
        <v/>
      </c>
    </row>
    <row r="21">
      <c r="A21" s="29" t="inlineStr">
        <is>
          <t>What this workbook CANNOT tell you</t>
        </is>
      </c>
    </row>
    <row r="22" ht="30" customHeight="1">
      <c r="A22" s="8" t="inlineStr">
        <is>
          <t>·  It does not know your benefits, workers' compensation, retirement match or PTO accrual. Employer cost here is gross pay plus the burden rate on Settings, and nothing else.</t>
        </is>
      </c>
    </row>
    <row r="23" ht="30" customHeight="1">
      <c r="A23" s="8" t="inlineStr">
        <is>
          <t>·  It is an ESTIMATE of employer cost, not a withholding calculation. It does not compute what comes out of anyone's cheque, and it is not a substitute for your payroll provider.</t>
        </is>
      </c>
    </row>
    <row r="24" ht="30" customHeight="1">
      <c r="A24" s="8" t="inlineStr">
        <is>
          <t>·  It assumes the schedule you typed is the schedule that happens. A called-in shift or an extra hour changes the answer, which is why it is quick to re-run rather than clever.</t>
        </is>
      </c>
    </row>
    <row r="25" ht="30" customHeight="1">
      <c r="A25" s="8" t="inlineStr">
        <is>
          <t>·  Overtime uses the threshold on Settings. If your state is stricter than the federal 40 (California's daily rule, for instance), change it there — this file will not know.</t>
        </is>
      </c>
    </row>
    <row r="27">
      <c r="A27" s="3" t="inlineStr">
        <is>
          <t>Stated because a number you cannot trust is worse than one you do not have.</t>
        </is>
      </c>
    </row>
    <row r="29">
      <c r="A29" s="11" t="inlineStr">
        <is>
          <t>Built by Automated Workflow  ·  automatedworkflowllc.com  ·  Payroll Estimator</t>
        </is>
      </c>
    </row>
  </sheetData>
  <mergeCells count="5">
    <mergeCell ref="A25:H25"/>
    <mergeCell ref="A24:H24"/>
    <mergeCell ref="A1:H1"/>
    <mergeCell ref="A23:H23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2026-08-13T14:57:34Z</dcterms:created>
  <dcterms:modified xmlns:dcterms="http://purl.org/dc/terms/" xmlns:xsi="http://www.w3.org/2001/XMLSchema-instance" xsi:type="dcterms:W3CDTF">2026-08-13T14:57:34Z</dcterms:modified>
</cp:coreProperties>
</file>