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 H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$#,##0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B23B3B"/>
    </font>
    <font>
      <i val="1"/>
      <color rgb="006E6555"/>
      <sz val="9"/>
    </font>
    <font>
      <b val="1"/>
      <color rgb="00FFFFFF"/>
      <sz val="14"/>
    </font>
    <font>
      <i val="1"/>
      <color rgb="005C5645"/>
      <sz val="10"/>
    </font>
    <font>
      <b val="1"/>
      <color rgb="00211D14"/>
    </font>
    <font>
      <b val="1"/>
      <color rgb="00211D14"/>
      <sz val="13"/>
    </font>
    <font>
      <b val="1"/>
      <color rgb="001E7A47"/>
      <sz val="13"/>
    </font>
    <font>
      <b val="1"/>
      <color rgb="00B23B3B"/>
      <sz val="13"/>
    </font>
    <font>
      <i val="1"/>
      <color rgb="005C5645"/>
      <sz val="9"/>
    </font>
    <font>
      <b val="1"/>
      <color rgb="00B45309"/>
    </font>
    <font>
      <b val="1"/>
      <color rgb="001E7A47"/>
      <sz val="16"/>
    </font>
  </fonts>
  <fills count="6">
    <fill>
      <patternFill/>
    </fill>
    <fill>
      <patternFill patternType="gray125"/>
    </fill>
    <fill>
      <patternFill patternType="solid">
        <fgColor rgb="00211D14"/>
      </patternFill>
    </fill>
    <fill>
      <patternFill patternType="solid">
        <fgColor rgb="00F4F1E8"/>
      </patternFill>
    </fill>
    <fill>
      <patternFill patternType="solid">
        <fgColor rgb="00E4DFD1"/>
      </patternFill>
    </fill>
    <fill>
      <patternFill patternType="solid">
        <fgColor rgb="00E6F2EC"/>
      </patternFill>
    </fill>
  </fills>
  <borders count="2">
    <border>
      <left/>
      <right/>
      <top/>
      <bottom/>
      <diagonal/>
    </border>
    <border>
      <bottom style="thin">
        <color rgb="00E4DFD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166" fontId="7" fillId="3" borderId="0" applyAlignment="1" pivotButton="0" quotePrefix="0" xfId="0">
      <alignment horizontal="right"/>
    </xf>
    <xf numFmtId="166" fontId="8" fillId="3" borderId="0" applyAlignment="1" pivotButton="0" quotePrefix="0" xfId="0">
      <alignment horizontal="right"/>
    </xf>
    <xf numFmtId="166" fontId="9" fillId="3" borderId="0" applyAlignment="1" pivotButton="0" quotePrefix="0" xfId="0">
      <alignment horizontal="right"/>
    </xf>
    <xf numFmtId="0" fontId="6" fillId="4" borderId="0" pivotButton="0" quotePrefix="0" xfId="0"/>
    <xf numFmtId="0" fontId="6" fillId="4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166" fontId="11" fillId="0" borderId="0" applyAlignment="1" pivotButton="0" quotePrefix="0" xfId="0">
      <alignment horizontal="right"/>
    </xf>
    <xf numFmtId="0" fontId="8" fillId="5" borderId="0" applyAlignment="1" pivotButton="0" quotePrefix="0" xfId="0">
      <alignment horizontal="left" vertical="center"/>
    </xf>
    <xf numFmtId="0" fontId="0" fillId="5" borderId="0" pivotButton="0" quotePrefix="0" xfId="0"/>
    <xf numFmtId="166" fontId="12" fillId="5" borderId="0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/>
    </xf>
    <xf numFmtId="166" fontId="11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166" fontId="11" fillId="0" borderId="1" applyAlignment="1" pivotButton="0" quotePrefix="0" xfId="0">
      <alignment horizontal="right"/>
    </xf>
    <xf numFmtId="0" fontId="10" fillId="3" borderId="1" pivotButton="0" quotePrefix="0" xfId="0"/>
    <xf numFmtId="166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8" customWidth="1" min="4" max="4"/>
    <col width="12" customWidth="1" min="5" max="5"/>
    <col width="12" customWidth="1" min="6" max="6"/>
  </cols>
  <sheetData>
    <row r="1" ht="24" customHeight="1">
      <c r="A1" s="1" t="inlineStr">
        <is>
          <t>Date</t>
        </is>
      </c>
      <c r="B1" s="1" t="inlineStr">
        <is>
          <t>Invoice #</t>
        </is>
      </c>
      <c r="C1" s="1" t="inlineStr">
        <is>
          <t>Client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Status</t>
        </is>
      </c>
    </row>
    <row r="2">
      <c r="A2" s="2" t="n">
        <v>46114</v>
      </c>
      <c r="B2" s="3" t="inlineStr">
        <is>
          <t>INV-1001</t>
        </is>
      </c>
      <c r="C2" s="3" t="inlineStr">
        <is>
          <t>Hogtown Coffee Roasters</t>
        </is>
      </c>
      <c r="D2" s="3" t="inlineStr">
        <is>
          <t>Install Kits</t>
        </is>
      </c>
      <c r="E2" s="4" t="n">
        <v>2400</v>
      </c>
      <c r="F2" s="3" t="inlineStr">
        <is>
          <t>Paid</t>
        </is>
      </c>
    </row>
    <row r="3">
      <c r="A3" s="2" t="n">
        <v>46118</v>
      </c>
      <c r="B3" s="3" t="inlineStr">
        <is>
          <t>INV-1002</t>
        </is>
      </c>
      <c r="C3" s="3" t="inlineStr">
        <is>
          <t>Paynes Prairie Landscaping</t>
        </is>
      </c>
      <c r="D3" s="3" t="inlineStr">
        <is>
          <t>Consulting</t>
        </is>
      </c>
      <c r="E3" s="4" t="n">
        <v>1800</v>
      </c>
      <c r="F3" s="3" t="inlineStr">
        <is>
          <t>Paid</t>
        </is>
      </c>
    </row>
    <row r="4">
      <c r="A4" s="2" t="n">
        <v>46121</v>
      </c>
      <c r="B4" s="3" t="inlineStr">
        <is>
          <t>INV-1003</t>
        </is>
      </c>
      <c r="C4" s="3" t="inlineStr">
        <is>
          <t>Depot Ave Bike Shop</t>
        </is>
      </c>
      <c r="D4" s="3" t="inlineStr">
        <is>
          <t>Maintenance Plan</t>
        </is>
      </c>
      <c r="E4" s="4" t="n">
        <v>950</v>
      </c>
      <c r="F4" s="3" t="inlineStr">
        <is>
          <t>Paid</t>
        </is>
      </c>
    </row>
    <row r="5">
      <c r="A5" s="2" t="n">
        <v>46125</v>
      </c>
      <c r="B5" s="3" t="inlineStr">
        <is>
          <t>INV-1004</t>
        </is>
      </c>
      <c r="C5" s="3" t="inlineStr">
        <is>
          <t>Micanopy Antiques Co.</t>
        </is>
      </c>
      <c r="D5" s="3" t="inlineStr">
        <is>
          <t>Install Kits</t>
        </is>
      </c>
      <c r="E5" s="4" t="n">
        <v>3200</v>
      </c>
      <c r="F5" s="3" t="inlineStr">
        <is>
          <t>Paid</t>
        </is>
      </c>
    </row>
    <row r="6">
      <c r="A6" s="2" t="n">
        <v>46128</v>
      </c>
      <c r="B6" s="3" t="inlineStr">
        <is>
          <t>INV-1005</t>
        </is>
      </c>
      <c r="C6" s="3" t="inlineStr">
        <is>
          <t>Sweetwater Dental Studio</t>
        </is>
      </c>
      <c r="D6" s="3" t="inlineStr">
        <is>
          <t>Training</t>
        </is>
      </c>
      <c r="E6" s="4" t="n">
        <v>1200</v>
      </c>
      <c r="F6" s="3" t="inlineStr">
        <is>
          <t>Paid</t>
        </is>
      </c>
    </row>
    <row r="7">
      <c r="A7" s="2" t="n">
        <v>46132</v>
      </c>
      <c r="B7" s="3" t="inlineStr">
        <is>
          <t>INV-1006</t>
        </is>
      </c>
      <c r="C7" s="3" t="inlineStr">
        <is>
          <t>Archer Road Fitness</t>
        </is>
      </c>
      <c r="D7" s="3" t="inlineStr">
        <is>
          <t>consulting</t>
        </is>
      </c>
      <c r="E7" s="4" t="n">
        <v>1800</v>
      </c>
      <c r="F7" s="3" t="inlineStr">
        <is>
          <t>Paid</t>
        </is>
      </c>
    </row>
    <row r="8">
      <c r="A8" s="2" t="n">
        <v>46135</v>
      </c>
      <c r="B8" s="3" t="inlineStr">
        <is>
          <t>INV-1007</t>
        </is>
      </c>
      <c r="C8" s="3" t="inlineStr">
        <is>
          <t>Newnans Lake Outfitters</t>
        </is>
      </c>
      <c r="D8" s="3" t="inlineStr">
        <is>
          <t>Install Kits</t>
        </is>
      </c>
      <c r="E8" s="4" t="n">
        <v>2750</v>
      </c>
      <c r="F8" s="3" t="inlineStr">
        <is>
          <t>Paid</t>
        </is>
      </c>
    </row>
    <row r="9">
      <c r="A9" s="2" t="n">
        <v>46139</v>
      </c>
      <c r="B9" s="3" t="inlineStr">
        <is>
          <t>INV-1003</t>
        </is>
      </c>
      <c r="C9" s="3" t="inlineStr">
        <is>
          <t>Depot Ave Bike Shop</t>
        </is>
      </c>
      <c r="D9" s="3" t="inlineStr">
        <is>
          <t>Maintenance Plan</t>
        </is>
      </c>
      <c r="E9" s="4" t="n">
        <v>950</v>
      </c>
      <c r="F9" s="3" t="inlineStr">
        <is>
          <t>Paid</t>
        </is>
      </c>
    </row>
    <row r="10">
      <c r="A10" s="2" t="n">
        <v>46141</v>
      </c>
      <c r="B10" s="3" t="inlineStr">
        <is>
          <t>INV-1008</t>
        </is>
      </c>
      <c r="C10" s="3" t="inlineStr">
        <is>
          <t>Tioga Town Bakery</t>
        </is>
      </c>
      <c r="D10" s="3" t="inlineStr">
        <is>
          <t>Maintenance Plan</t>
        </is>
      </c>
      <c r="E10" s="4" t="n">
        <v>3350</v>
      </c>
      <c r="F10" s="3" t="inlineStr">
        <is>
          <t>Paid</t>
        </is>
      </c>
    </row>
    <row r="11">
      <c r="A11" s="2" t="n">
        <v>46146</v>
      </c>
      <c r="B11" s="3" t="inlineStr">
        <is>
          <t>INV-1009</t>
        </is>
      </c>
      <c r="C11" s="3" t="inlineStr">
        <is>
          <t>Haile Village Realty</t>
        </is>
      </c>
      <c r="D11" s="3" t="inlineStr">
        <is>
          <t>Install Kits</t>
        </is>
      </c>
      <c r="E11" s="4" t="n">
        <v>2900</v>
      </c>
      <c r="F11" s="3" t="inlineStr">
        <is>
          <t>Paid</t>
        </is>
      </c>
    </row>
    <row r="12">
      <c r="A12" s="2" t="n">
        <v>46149</v>
      </c>
      <c r="B12" s="3" t="inlineStr">
        <is>
          <t>INV-1010</t>
        </is>
      </c>
      <c r="C12" s="3" t="inlineStr">
        <is>
          <t>Kanapaha Gardens Nursery</t>
        </is>
      </c>
      <c r="D12" s="3" t="inlineStr">
        <is>
          <t xml:space="preserve">Consulting </t>
        </is>
      </c>
      <c r="E12" s="4" t="n">
        <v>1500</v>
      </c>
      <c r="F12" s="3" t="inlineStr">
        <is>
          <t>Paid</t>
        </is>
      </c>
    </row>
    <row r="13">
      <c r="A13" s="2" t="n">
        <v>46153</v>
      </c>
      <c r="B13" s="3" t="inlineStr">
        <is>
          <t>INV-1011</t>
        </is>
      </c>
      <c r="C13" s="3" t="inlineStr">
        <is>
          <t>Duckpond Design Studio</t>
        </is>
      </c>
      <c r="D13" s="3" t="inlineStr">
        <is>
          <t>Training</t>
        </is>
      </c>
      <c r="E13" s="4" t="n">
        <v>1100</v>
      </c>
      <c r="F13" s="3" t="inlineStr">
        <is>
          <t>Paid</t>
        </is>
      </c>
    </row>
    <row r="14">
      <c r="A14" s="2" t="n">
        <v>46156</v>
      </c>
      <c r="B14" s="3" t="inlineStr">
        <is>
          <t>INV-1012</t>
        </is>
      </c>
      <c r="C14" s="3" t="inlineStr">
        <is>
          <t>Alachua Auto Care</t>
        </is>
      </c>
      <c r="D14" s="3" t="inlineStr">
        <is>
          <t>Install Kits</t>
        </is>
      </c>
      <c r="E14" s="4" t="n">
        <v>3400</v>
      </c>
      <c r="F14" s="3" t="inlineStr">
        <is>
          <t>Paid</t>
        </is>
      </c>
    </row>
    <row r="15">
      <c r="A15" s="2" t="n">
        <v>46160</v>
      </c>
      <c r="B15" s="3" t="inlineStr">
        <is>
          <t>INV-1013</t>
        </is>
      </c>
      <c r="C15" s="3" t="inlineStr">
        <is>
          <t>Millhopper Vet Supply</t>
        </is>
      </c>
      <c r="D15" s="3" t="inlineStr">
        <is>
          <t>Maintenance Plan</t>
        </is>
      </c>
      <c r="E15" s="4" t="n">
        <v>1250</v>
      </c>
      <c r="F15" s="5" t="inlineStr">
        <is>
          <t>Overdue</t>
        </is>
      </c>
    </row>
    <row r="16">
      <c r="A16" s="2" t="n">
        <v>46162</v>
      </c>
      <c r="B16" s="3" t="inlineStr">
        <is>
          <t>INV-1012</t>
        </is>
      </c>
      <c r="C16" s="3" t="inlineStr">
        <is>
          <t>Alachua Auto Care</t>
        </is>
      </c>
      <c r="D16" s="3" t="inlineStr">
        <is>
          <t>Install Kits</t>
        </is>
      </c>
      <c r="E16" s="4" t="n">
        <v>3400</v>
      </c>
      <c r="F16" s="3" t="inlineStr">
        <is>
          <t>Paid</t>
        </is>
      </c>
    </row>
    <row r="17">
      <c r="A17" s="2" t="n">
        <v>46164</v>
      </c>
      <c r="B17" s="3" t="inlineStr">
        <is>
          <t>INV-1014</t>
        </is>
      </c>
      <c r="C17" s="3" t="inlineStr">
        <is>
          <t>Santa Fe Print Shop</t>
        </is>
      </c>
      <c r="D17" s="3" t="inlineStr">
        <is>
          <t>Consulting</t>
        </is>
      </c>
      <c r="E17" s="4" t="n">
        <v>2100</v>
      </c>
      <c r="F17" s="3" t="inlineStr">
        <is>
          <t>Paid</t>
        </is>
      </c>
    </row>
    <row r="18">
      <c r="A18" s="2" t="n">
        <v>46168</v>
      </c>
      <c r="B18" s="3" t="inlineStr">
        <is>
          <t>INV-1015</t>
        </is>
      </c>
      <c r="C18" s="3" t="inlineStr">
        <is>
          <t>Cedar Key Seafood Market</t>
        </is>
      </c>
      <c r="D18" s="3" t="inlineStr">
        <is>
          <t>Install Kits</t>
        </is>
      </c>
      <c r="E18" s="4" t="n">
        <v>2800</v>
      </c>
      <c r="F18" s="3" t="inlineStr">
        <is>
          <t>Paid</t>
        </is>
      </c>
    </row>
    <row r="19">
      <c r="A19" s="2" t="n">
        <v>46170</v>
      </c>
      <c r="B19" s="3" t="inlineStr">
        <is>
          <t>INV-1016</t>
        </is>
      </c>
      <c r="C19" s="3" t="inlineStr">
        <is>
          <t>University Ave Books</t>
        </is>
      </c>
      <c r="D19" s="3" t="inlineStr">
        <is>
          <t>Maintenance Plan</t>
        </is>
      </c>
      <c r="E19" s="4" t="n">
        <v>3300</v>
      </c>
      <c r="F19" s="3" t="inlineStr">
        <is>
          <t>Paid</t>
        </is>
      </c>
    </row>
    <row r="20">
      <c r="A20" s="2" t="n">
        <v>46174</v>
      </c>
      <c r="B20" s="3" t="inlineStr">
        <is>
          <t>INV-1017</t>
        </is>
      </c>
      <c r="C20" s="3" t="inlineStr">
        <is>
          <t>Hawthorne Trail Cycles</t>
        </is>
      </c>
      <c r="D20" s="3" t="inlineStr">
        <is>
          <t>Install Kits</t>
        </is>
      </c>
      <c r="E20" s="4" t="n">
        <v>3100</v>
      </c>
      <c r="F20" s="3" t="inlineStr">
        <is>
          <t>Paid</t>
        </is>
      </c>
    </row>
    <row r="21">
      <c r="A21" s="2" t="n">
        <v>46177</v>
      </c>
      <c r="B21" s="3" t="inlineStr">
        <is>
          <t>INV-1018</t>
        </is>
      </c>
      <c r="C21" s="3" t="inlineStr">
        <is>
          <t>Prairie Creek Builders</t>
        </is>
      </c>
      <c r="D21" s="3" t="inlineStr">
        <is>
          <t>Consutling</t>
        </is>
      </c>
      <c r="E21" s="4" t="n">
        <v>900</v>
      </c>
      <c r="F21" s="3" t="inlineStr">
        <is>
          <t>Paid</t>
        </is>
      </c>
    </row>
    <row r="22">
      <c r="A22" s="2" t="n">
        <v>46181</v>
      </c>
      <c r="B22" s="3" t="inlineStr">
        <is>
          <t>INV-1019</t>
        </is>
      </c>
      <c r="C22" s="3" t="inlineStr">
        <is>
          <t>Ridgeway Cleaning Co.</t>
        </is>
      </c>
      <c r="D22" s="3" t="inlineStr">
        <is>
          <t>Maintenance Plan</t>
        </is>
      </c>
      <c r="E22" s="4" t="n">
        <v>1400</v>
      </c>
      <c r="F22" s="5" t="inlineStr">
        <is>
          <t>Unpaid</t>
        </is>
      </c>
    </row>
    <row r="23">
      <c r="A23" s="2" t="n">
        <v>46183</v>
      </c>
      <c r="B23" s="3" t="inlineStr">
        <is>
          <t>INV-1020</t>
        </is>
      </c>
      <c r="C23" s="3" t="inlineStr">
        <is>
          <t>Loblolly Landscaping</t>
        </is>
      </c>
      <c r="D23" s="3" t="inlineStr">
        <is>
          <t>Consulting</t>
        </is>
      </c>
      <c r="E23" s="4" t="n">
        <v>3400</v>
      </c>
      <c r="F23" s="3" t="inlineStr">
        <is>
          <t>Paid</t>
        </is>
      </c>
    </row>
    <row r="24">
      <c r="A24" s="2" t="n">
        <v>46188</v>
      </c>
      <c r="B24" s="3" t="inlineStr">
        <is>
          <t>INV-1021</t>
        </is>
      </c>
      <c r="C24" s="3" t="inlineStr">
        <is>
          <t>Westside Yoga Collective</t>
        </is>
      </c>
      <c r="D24" s="3" t="inlineStr">
        <is>
          <t>Training</t>
        </is>
      </c>
      <c r="E24" s="4" t="n">
        <v>1300</v>
      </c>
      <c r="F24" s="3" t="inlineStr">
        <is>
          <t>Paid</t>
        </is>
      </c>
    </row>
    <row r="25">
      <c r="A25" s="2" t="n">
        <v>46190</v>
      </c>
      <c r="B25" s="3" t="inlineStr">
        <is>
          <t>INV-1022</t>
        </is>
      </c>
      <c r="C25" s="3" t="inlineStr">
        <is>
          <t>Buckman Hardware</t>
        </is>
      </c>
      <c r="D25" s="3" t="inlineStr">
        <is>
          <t>Install Kits</t>
        </is>
      </c>
      <c r="E25" s="4" t="n">
        <v>3600</v>
      </c>
      <c r="F25" s="3" t="inlineStr">
        <is>
          <t>Paid</t>
        </is>
      </c>
    </row>
    <row r="26">
      <c r="A26" s="2" t="n">
        <v>46192</v>
      </c>
      <c r="B26" s="3" t="inlineStr">
        <is>
          <t>INV-1021</t>
        </is>
      </c>
      <c r="C26" s="3" t="inlineStr">
        <is>
          <t>Westside Yoga Collective</t>
        </is>
      </c>
      <c r="D26" s="3" t="inlineStr">
        <is>
          <t>Training</t>
        </is>
      </c>
      <c r="E26" s="4" t="n">
        <v>1300</v>
      </c>
      <c r="F26" s="3" t="inlineStr">
        <is>
          <t>Paid</t>
        </is>
      </c>
    </row>
    <row r="27">
      <c r="A27" s="2" t="n">
        <v>46196</v>
      </c>
      <c r="B27" s="3" t="inlineStr">
        <is>
          <t>INV-1023</t>
        </is>
      </c>
      <c r="C27" s="3" t="inlineStr">
        <is>
          <t>Rocky Point Storage</t>
        </is>
      </c>
      <c r="D27" s="3" t="inlineStr">
        <is>
          <t>Install Kits</t>
        </is>
      </c>
      <c r="E27" s="4" t="n">
        <v>3950</v>
      </c>
      <c r="F27" s="3" t="inlineStr">
        <is>
          <t>Paid</t>
        </is>
      </c>
    </row>
    <row r="28">
      <c r="A28" s="2" t="n">
        <v>46199</v>
      </c>
      <c r="B28" s="3" t="inlineStr">
        <is>
          <t>INV-1024</t>
        </is>
      </c>
      <c r="C28" s="3" t="inlineStr">
        <is>
          <t>Glen Springs Media</t>
        </is>
      </c>
      <c r="D28" s="3" t="inlineStr">
        <is>
          <t>Install Kits</t>
        </is>
      </c>
      <c r="E28" s="4" t="n">
        <v>5950</v>
      </c>
      <c r="F28" s="3" t="inlineStr">
        <is>
          <t>Paid</t>
        </is>
      </c>
    </row>
    <row r="29">
      <c r="A29" s="3" t="n"/>
      <c r="B29" s="3" t="inlineStr">
        <is>
          <t>INV-1025</t>
        </is>
      </c>
      <c r="C29" s="3" t="inlineStr">
        <is>
          <t>Two Tails Pet Grooming</t>
        </is>
      </c>
      <c r="D29" s="3" t="inlineStr">
        <is>
          <t>Training</t>
        </is>
      </c>
      <c r="E29" s="4" t="n">
        <v>850</v>
      </c>
      <c r="F29" s="3" t="inlineStr">
        <is>
          <t>Paid</t>
        </is>
      </c>
    </row>
    <row r="30">
      <c r="A30" s="3" t="n"/>
      <c r="B30" s="3" t="inlineStr">
        <is>
          <t>INV-1026</t>
        </is>
      </c>
      <c r="C30" s="3" t="inlineStr">
        <is>
          <t>Osprey Point Cafe</t>
        </is>
      </c>
      <c r="D30" s="3" t="inlineStr">
        <is>
          <t>Maintenance Plan</t>
        </is>
      </c>
      <c r="E30" s="4" t="n">
        <v>600</v>
      </c>
      <c r="F30" s="3" t="inlineStr">
        <is>
          <t>Paid</t>
        </is>
      </c>
    </row>
    <row r="31">
      <c r="A31" s="3" t="n"/>
      <c r="B31" s="3" t="inlineStr">
        <is>
          <t>INV-1027</t>
        </is>
      </c>
      <c r="C31" s="3" t="inlineStr">
        <is>
          <t>High Springs Hardware</t>
        </is>
      </c>
      <c r="D31" s="3" t="inlineStr">
        <is>
          <t>Consulting</t>
        </is>
      </c>
      <c r="E31" s="4" t="n">
        <v>450</v>
      </c>
      <c r="F31" s="5" t="inlineStr">
        <is>
          <t>Overdue</t>
        </is>
      </c>
    </row>
    <row r="33">
      <c r="A33" s="6" t="inlineStr">
        <is>
          <t>Built by Automated Workflow  ·  automatedworkflowllc.com  ·  free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30" customHeight="1">
      <c r="A1" s="7" t="inlineStr">
        <is>
          <t>SALES DASHBOARD</t>
        </is>
      </c>
      <c r="B1" s="8" t="n"/>
    </row>
    <row r="2">
      <c r="A2" s="9" t="inlineStr">
        <is>
          <t>Auto-updates from the Sales data tab. Add rows there and every number below recalculates.</t>
        </is>
      </c>
    </row>
    <row r="4">
      <c r="A4" s="10" t="inlineStr">
        <is>
          <t>Revenue (Apr-Jun)</t>
        </is>
      </c>
      <c r="B4" s="11">
        <f>SUM(B11:B13)</f>
        <v/>
      </c>
    </row>
    <row r="5">
      <c r="A5" s="10" t="inlineStr">
        <is>
          <t>Collected (Paid)</t>
        </is>
      </c>
      <c r="B5" s="12">
        <f>SUMIF('Sales data'!$F$2:$F$31,"Paid",'Sales data'!$E$2:$E$31)</f>
        <v/>
      </c>
    </row>
    <row r="6">
      <c r="A6" s="10" t="inlineStr">
        <is>
          <t>Outstanding (Unpaid + Overdue)</t>
        </is>
      </c>
      <c r="B6" s="13">
        <f>SUMIF('Sales data'!$F$2:$F$31,"Unpaid",'Sales data'!$E$2:$E$31)+SUMIF('Sales data'!$F$2:$F$31,"Overdue",'Sales data'!$E$2:$E$31)</f>
        <v/>
      </c>
    </row>
    <row r="7">
      <c r="A7" s="10" t="inlineStr">
        <is>
          <t>Recoverable found by Data Health</t>
        </is>
      </c>
      <c r="B7" s="12">
        <f>'Data Health'!C4</f>
        <v/>
      </c>
    </row>
    <row r="10">
      <c r="A10" s="14" t="inlineStr">
        <is>
          <t>Revenue by month</t>
        </is>
      </c>
      <c r="B10" s="15" t="inlineStr">
        <is>
          <t>Revenue</t>
        </is>
      </c>
    </row>
    <row r="11">
      <c r="A11" t="inlineStr">
        <is>
          <t>April</t>
        </is>
      </c>
      <c r="B11" s="16">
        <f>SUMIFS('Sales data'!$E$2:$E$31,'Sales data'!$A$2:$A$31,"&gt;="&amp;DATE(2026,4,1),'Sales data'!$A$2:$A$31,"&lt;"&amp;DATE(2026,5,1))</f>
        <v/>
      </c>
    </row>
    <row r="12">
      <c r="A12" t="inlineStr">
        <is>
          <t>May</t>
        </is>
      </c>
      <c r="B12" s="16">
        <f>SUMIFS('Sales data'!$E$2:$E$31,'Sales data'!$A$2:$A$31,"&gt;="&amp;DATE(2026,5,1),'Sales data'!$A$2:$A$31,"&lt;"&amp;DATE(2026,6,1))</f>
        <v/>
      </c>
    </row>
    <row r="13">
      <c r="A13" t="inlineStr">
        <is>
          <t>June</t>
        </is>
      </c>
      <c r="B13" s="16">
        <f>SUMIFS('Sales data'!$E$2:$E$31,'Sales data'!$A$2:$A$31,"&gt;="&amp;DATE(2026,6,1),'Sales data'!$A$2:$A$31,"&lt;"&amp;DATE(2026,7,1))</f>
        <v/>
      </c>
    </row>
    <row r="14">
      <c r="A14" s="17" t="inlineStr">
        <is>
          <t>Rows with a blank Date never land in a month - that's how sales drop out of the quarter (see Data Health).</t>
        </is>
      </c>
    </row>
    <row r="16">
      <c r="A16" s="14" t="inlineStr">
        <is>
          <t>Revenue by category</t>
        </is>
      </c>
      <c r="B16" s="15" t="inlineStr">
        <is>
          <t>Revenue</t>
        </is>
      </c>
    </row>
    <row r="17">
      <c r="A17" t="inlineStr">
        <is>
          <t>Consulting</t>
        </is>
      </c>
      <c r="B17" s="16">
        <f>SUMIF('Sales data'!$D$2:$D$31,A17,'Sales data'!$E$2:$E$31)</f>
        <v/>
      </c>
    </row>
    <row r="18">
      <c r="A18" t="inlineStr">
        <is>
          <t>Install Kits</t>
        </is>
      </c>
      <c r="B18" s="16">
        <f>SUMIF('Sales data'!$D$2:$D$31,A18,'Sales data'!$E$2:$E$31)</f>
        <v/>
      </c>
    </row>
    <row r="19">
      <c r="A19" t="inlineStr">
        <is>
          <t>Maintenance Plan</t>
        </is>
      </c>
      <c r="B19" s="16">
        <f>SUMIF('Sales data'!$D$2:$D$31,A19,'Sales data'!$E$2:$E$31)</f>
        <v/>
      </c>
    </row>
    <row r="20">
      <c r="A20" t="inlineStr">
        <is>
          <t>Training</t>
        </is>
      </c>
      <c r="B20" s="16">
        <f>SUMIF('Sales data'!$D$2:$D$31,A20,'Sales data'!$E$2:$E$31)</f>
        <v/>
      </c>
    </row>
    <row r="21">
      <c r="A21" s="18" t="inlineStr">
        <is>
          <t>Not matching any category above</t>
        </is>
      </c>
      <c r="B21" s="19">
        <f>SUM('Sales data'!$E$2:$E$31)-SUM(B17:B20)</f>
        <v/>
      </c>
    </row>
    <row r="22">
      <c r="A22" s="17" t="inlineStr">
        <is>
          <t>Money hiding under a mistyped label -&gt; the Data Health tab lists how much.</t>
        </is>
      </c>
    </row>
    <row r="24">
      <c r="A24" s="6" t="inlineStr">
        <is>
          <t>Built by Automated Workflow  ·  automatedworkflowllc.com  ·  free template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8" customWidth="1" min="3" max="3"/>
  </cols>
  <sheetData>
    <row r="1" ht="30" customHeight="1">
      <c r="A1" s="7" t="inlineStr">
        <is>
          <t>DATA HEALTH</t>
        </is>
      </c>
      <c r="B1" s="8" t="n"/>
      <c r="C1" s="8" t="n"/>
    </row>
    <row r="2">
      <c r="A2" s="9" t="inlineStr">
        <is>
          <t>Automatic checks on the Sales data tab. Fix the flagged rows and this money comes back into your totals.</t>
        </is>
      </c>
    </row>
    <row r="4" ht="30" customHeight="1">
      <c r="A4" s="20" t="inlineStr">
        <is>
          <t>RECOVERABLE REVENUE FOUND</t>
        </is>
      </c>
      <c r="B4" s="21" t="n"/>
      <c r="C4" s="22">
        <f>C7+C8</f>
        <v/>
      </c>
    </row>
    <row r="6">
      <c r="A6" s="1" t="inlineStr">
        <is>
          <t>Check</t>
        </is>
      </c>
      <c r="B6" s="1" t="inlineStr">
        <is>
          <t>Flagged</t>
        </is>
      </c>
      <c r="C6" s="1" t="inlineStr">
        <is>
          <t>Dollars affected</t>
        </is>
      </c>
    </row>
    <row r="7">
      <c r="A7" s="23" t="inlineStr">
        <is>
          <t>Miscategorized revenue (label doesn't match the master category list)</t>
        </is>
      </c>
      <c r="B7" s="24">
        <f>SUMPRODUCT((1-(EXACT('Sales data'!$D$2:$D$31,"Consulting")+EXACT('Sales data'!$D$2:$D$31,"Install Kits")+EXACT('Sales data'!$D$2:$D$31,"Maintenance Plan")+EXACT('Sales data'!$D$2:$D$31,"Training"))))</f>
        <v/>
      </c>
      <c r="C7" s="25">
        <f>SUMPRODUCT('Sales data'!$E$2:$E$31,(1-(EXACT('Sales data'!$D$2:$D$31,"Consulting")+EXACT('Sales data'!$D$2:$D$31,"Install Kits")+EXACT('Sales data'!$D$2:$D$31,"Maintenance Plan")+EXACT('Sales data'!$D$2:$D$31,"Training"))))</f>
        <v/>
      </c>
    </row>
    <row r="8">
      <c r="A8" s="3" t="inlineStr">
        <is>
          <t>Blank sale dates (rows dropping out of the monthly totals)</t>
        </is>
      </c>
      <c r="B8" s="26">
        <f>COUNTBLANK('Sales data'!$A$2:$A$31)</f>
        <v/>
      </c>
      <c r="C8" s="27">
        <f>SUMIFS('Sales data'!$E$2:$E$31,'Sales data'!$A$2:$A$31,"")</f>
        <v/>
      </c>
    </row>
    <row r="9">
      <c r="A9" s="23" t="inlineStr">
        <is>
          <t>Duplicate invoice numbers (same sale counted twice)</t>
        </is>
      </c>
      <c r="B9" s="24">
        <f>SUMPRODUCT((COUNTIF('Sales data'!$B$2:$B$31,'Sales data'!$B$2:$B$31)&gt;1)/COUNTIF('Sales data'!$B$2:$B$31,'Sales data'!$B$2:$B$31))</f>
        <v/>
      </c>
      <c r="C9" s="28" t="inlineStr">
        <is>
          <t>review &amp; delete repeats</t>
        </is>
      </c>
    </row>
    <row r="10">
      <c r="A10" s="3" t="inlineStr">
        <is>
          <t>Unpaid / overdue invoices (billed but not collected)</t>
        </is>
      </c>
      <c r="B10" s="26">
        <f>COUNTIF('Sales data'!$F$2:$F$31,"Unpaid")+COUNTIF('Sales data'!$F$2:$F$31,"Overdue")</f>
        <v/>
      </c>
      <c r="C10" s="29">
        <f>SUMIF('Sales data'!$F$2:$F$31,"Unpaid",'Sales data'!$E$2:$E$31)+SUMIF('Sales data'!$F$2:$F$31,"Overdue",'Sales data'!$E$2:$E$31)</f>
        <v/>
      </c>
    </row>
    <row r="12">
      <c r="A12" s="17" t="inlineStr">
        <is>
          <t>Recoverable = miscategorized dollars + blank-date dollars (rows 7-8). Duplicates are a row count - delete the repeats so nothing is double-counted.</t>
        </is>
      </c>
    </row>
    <row r="13">
      <c r="A13" s="17" t="inlineStr">
        <is>
          <t>Unpaid/overdue is tracked separately - that's collections follow-up, not miscounting.</t>
        </is>
      </c>
    </row>
    <row r="15">
      <c r="A15" s="17" t="inlineStr">
        <is>
          <t>Master categories: Consulting, Install Kits, Maintenance Plan, Training. Renamed your categories? Update them inside the two formulas in row 7.</t>
        </is>
      </c>
    </row>
    <row r="17">
      <c r="A17" s="6" t="inlineStr">
        <is>
          <t>Built by Automated Workflow  ·  automatedworkflowllc.com  ·  free template</t>
        </is>
      </c>
    </row>
  </sheetData>
  <mergeCells count="2">
    <mergeCell ref="A1:C1"/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2026-08-06T18:13:35Z</dcterms:created>
  <dcterms:modified xmlns:dcterms="http://purl.org/dc/terms/" xmlns:xsi="http://www.w3.org/2001/XMLSchema-instance" xsi:type="dcterms:W3CDTF">2026-08-06T18:13:35Z</dcterms:modified>
</cp:coreProperties>
</file>