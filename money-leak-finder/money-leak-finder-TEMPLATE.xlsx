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Work Log" sheetId="2" state="visible" r:id="rId2"/>
    <sheet xmlns:r="http://schemas.openxmlformats.org/officeDocument/2006/relationships" name="Invoices" sheetId="3" state="visible" r:id="rId3"/>
    <sheet xmlns:r="http://schemas.openxmlformats.org/officeDocument/2006/relationships" name="Leak Re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$&quot;#,##0.00"/>
  </numFmts>
  <fonts count="1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211D14"/>
    </font>
    <font>
      <i val="1"/>
      <color rgb="006E6555"/>
      <sz val="9"/>
    </font>
    <font>
      <b val="1"/>
      <color rgb="00FFFFFF"/>
      <sz val="13"/>
    </font>
    <font>
      <i val="1"/>
      <color rgb="005C5645"/>
      <sz val="10"/>
    </font>
    <font>
      <b val="1"/>
      <color rgb="00FFFFFF"/>
    </font>
    <font>
      <b val="1"/>
      <color rgb="00B23B3B"/>
    </font>
    <font>
      <b val="1"/>
    </font>
    <font>
      <b val="1"/>
      <color rgb="005C5645"/>
    </font>
    <font>
      <i val="1"/>
      <color rgb="005C5645"/>
      <sz val="9"/>
    </font>
    <font>
      <b val="1"/>
      <color rgb="005C5645"/>
      <sz val="10"/>
    </font>
    <font>
      <b val="1"/>
      <color rgb="00B23B3B"/>
      <sz val="16"/>
    </font>
    <font>
      <b val="1"/>
      <color rgb="00B45309"/>
      <sz val="16"/>
    </font>
    <font>
      <b val="1"/>
      <color rgb="00B45309"/>
    </font>
  </fonts>
  <fills count="7">
    <fill>
      <patternFill/>
    </fill>
    <fill>
      <patternFill patternType="gray125"/>
    </fill>
    <fill>
      <patternFill patternType="solid">
        <fgColor rgb="00211D14"/>
      </patternFill>
    </fill>
    <fill>
      <patternFill patternType="solid">
        <fgColor rgb="00F6E7E7"/>
      </patternFill>
    </fill>
    <fill>
      <patternFill patternType="solid">
        <fgColor rgb="00E6F2EC"/>
      </patternFill>
    </fill>
    <fill>
      <patternFill patternType="solid">
        <fgColor rgb="00FBFAF3"/>
      </patternFill>
    </fill>
    <fill>
      <patternFill patternType="solid">
        <fgColor rgb="00FBEFE0"/>
      </patternFill>
    </fill>
  </fills>
  <borders count="2">
    <border>
      <left/>
      <right/>
      <top/>
      <bottom/>
      <diagonal/>
    </border>
    <border>
      <bottom style="thin">
        <color rgb="00E4DFD1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0" borderId="0" pivotButton="0" quotePrefix="0" xfId="0"/>
    <xf numFmtId="0" fontId="0" fillId="0" borderId="1" pivotButton="0" quotePrefix="0" xfId="0"/>
    <xf numFmtId="0" fontId="6" fillId="2" borderId="0" pivotButton="0" quotePrefix="0" xfId="0"/>
    <xf numFmtId="4" fontId="0" fillId="0" borderId="0" pivotButton="0" quotePrefix="0" xfId="0"/>
    <xf numFmtId="0" fontId="7" fillId="0" borderId="0" pivotButton="0" quotePrefix="0" xfId="0"/>
    <xf numFmtId="0" fontId="0" fillId="3" borderId="0" pivotButton="0" quotePrefix="0" xfId="0"/>
    <xf numFmtId="4" fontId="0" fillId="3" borderId="0" pivotButton="0" quotePrefix="0" xfId="0"/>
    <xf numFmtId="0" fontId="8" fillId="0" borderId="0" pivotButton="0" quotePrefix="0" xfId="0"/>
    <xf numFmtId="4" fontId="8" fillId="0" borderId="0" pivotButton="0" quotePrefix="0" xfId="0"/>
    <xf numFmtId="0" fontId="0" fillId="4" borderId="0" pivotButton="0" quotePrefix="0" xfId="0"/>
    <xf numFmtId="164" fontId="0" fillId="4" borderId="0" pivotButton="0" quotePrefix="0" xfId="0"/>
    <xf numFmtId="4" fontId="0" fillId="4" borderId="0" pivotButton="0" quotePrefix="0" xfId="0"/>
    <xf numFmtId="0" fontId="8" fillId="4" borderId="0" pivotButton="0" quotePrefix="0" xfId="0"/>
    <xf numFmtId="0" fontId="0" fillId="5" borderId="0" pivotButton="0" quotePrefix="0" xfId="0"/>
    <xf numFmtId="164" fontId="0" fillId="5" borderId="0" pivotButton="0" quotePrefix="0" xfId="0"/>
    <xf numFmtId="4" fontId="0" fillId="5" borderId="0" pivotButton="0" quotePrefix="0" xfId="0"/>
    <xf numFmtId="0" fontId="8" fillId="5" borderId="0" pivotButton="0" quotePrefix="0" xfId="0"/>
    <xf numFmtId="164" fontId="0" fillId="3" borderId="0" pivotButton="0" quotePrefix="0" xfId="0"/>
    <xf numFmtId="0" fontId="8" fillId="3" borderId="0" pivotButton="0" quotePrefix="0" xfId="0"/>
    <xf numFmtId="0" fontId="9" fillId="0" borderId="0" pivotButton="0" quotePrefix="0" xfId="0"/>
    <xf numFmtId="164" fontId="8" fillId="0" borderId="0" pivotButton="0" quotePrefix="0" xfId="0"/>
    <xf numFmtId="0" fontId="10" fillId="0" borderId="0" pivotButton="0" quotePrefix="0" xfId="0"/>
    <xf numFmtId="0" fontId="11" fillId="3" borderId="0" pivotButton="0" quotePrefix="0" xfId="0"/>
    <xf numFmtId="165" fontId="12" fillId="3" borderId="0" pivotButton="0" quotePrefix="0" xfId="0"/>
    <xf numFmtId="0" fontId="11" fillId="6" borderId="0" pivotButton="0" quotePrefix="0" xfId="0"/>
    <xf numFmtId="0" fontId="0" fillId="6" borderId="0" pivotButton="0" quotePrefix="0" xfId="0"/>
    <xf numFmtId="165" fontId="13" fillId="6" borderId="0" pivotButton="0" quotePrefix="0" xfId="0"/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8" customHeight="1">
      <c r="A1" s="1" t="inlineStr">
        <is>
          <t>MONEY LEAK FINDER · how to use this template</t>
        </is>
      </c>
      <c r="B1" s="2" t="n"/>
    </row>
    <row r="2">
      <c r="A2" s="3" t="inlineStr"/>
      <c r="B2" s="4" t="inlineStr"/>
    </row>
    <row r="3" ht="26" customHeight="1">
      <c r="A3" s="3" t="inlineStr">
        <is>
          <t>What this does</t>
        </is>
      </c>
      <c r="B3" s="4" t="inlineStr">
        <is>
          <t>Puts work you COMPLETED next to work you INVOICED and flags only the mismatches: jobs never billed, invoices unpaid, and how long they've been aging.</t>
        </is>
      </c>
    </row>
    <row r="4">
      <c r="A4" s="3" t="inlineStr"/>
      <c r="B4" s="4" t="inlineStr"/>
    </row>
    <row r="5" ht="26" customHeight="1">
      <c r="A5" s="3" t="inlineStr">
        <is>
          <t>Step 1</t>
        </is>
      </c>
      <c r="B5" s="4" t="inlineStr">
        <is>
          <t>Work Log tab: replace the sample rows with your completed jobs (one row per job). Keep the Job ID column — it's how the sheets link. Sample data is invented; delete it freely.</t>
        </is>
      </c>
    </row>
    <row r="6" ht="26" customHeight="1">
      <c r="A6" s="3" t="inlineStr">
        <is>
          <t>Step 2</t>
        </is>
      </c>
      <c r="B6" s="4" t="inlineStr">
        <is>
          <t>Invoices tab: paste your invoices (one row per invoice). Put the matching Job ID in column B. Leave 'Date paid' empty until an invoice is paid.</t>
        </is>
      </c>
    </row>
    <row r="7" ht="26" customHeight="1">
      <c r="A7" s="3" t="inlineStr">
        <is>
          <t>Step 3</t>
        </is>
      </c>
      <c r="B7" s="4" t="inlineStr">
        <is>
          <t>Leak Report tab: set the As-of date cell (B3). Type a date, or enter =TODAY() to make the report recalculate itself every time you open the file.</t>
        </is>
      </c>
    </row>
    <row r="8" ht="26" customHeight="1">
      <c r="A8" s="3" t="inlineStr">
        <is>
          <t>Step 4</t>
        </is>
      </c>
      <c r="B8" s="4" t="inlineStr">
        <is>
          <t>Read only the flags: NEVER BILLED rows on the Work Log, UNPAID rows and their aging bucket on the Invoices tab, and the three totals on the Leak Report.</t>
        </is>
      </c>
    </row>
    <row r="9">
      <c r="A9" s="3" t="inlineStr"/>
      <c r="B9" s="4" t="inlineStr"/>
    </row>
    <row r="10" ht="26" customHeight="1">
      <c r="A10" s="3" t="inlineStr">
        <is>
          <t>Capacity</t>
        </is>
      </c>
      <c r="B10" s="4" t="inlineStr">
        <is>
          <t>Formulas cover rows up to 300 on both data tabs. Past that, extend the ranges (or ask us — contact below).</t>
        </is>
      </c>
    </row>
    <row r="11" ht="65" customHeight="1">
      <c r="A11" s="3" t="inlineStr">
        <is>
          <t>Honest notes</t>
        </is>
      </c>
      <c r="B11" s="4" t="inlineStr">
        <is>
          <t>1) The 'never billed' list on the Leak Report uses FILTER(), which needs Google Sheets or Excel 365. On older Excel that one cell shows #NAME? — everything else still works; use the NEVER BILLED flag column on the Work Log instead. 2) Colored fills on the sample rows are illustrative only; the flags themselves are formulas and always update. 3) All sample names and figures are invented.</t>
        </is>
      </c>
    </row>
    <row r="12">
      <c r="A12" s="3" t="inlineStr"/>
      <c r="B12" s="4" t="inlineStr"/>
    </row>
    <row r="13" ht="26" customHeight="1">
      <c r="A13" s="3" t="inlineStr">
        <is>
          <t>Support</t>
        </is>
      </c>
      <c r="B13" s="4" t="inlineStr">
        <is>
          <t>Stuck, or want this wired to your real exports and refreshing automatically? colin@automatedworkflowllc.com — a working version from your own files inside a day, free to try.</t>
        </is>
      </c>
    </row>
    <row r="15">
      <c r="A15" s="5" t="inlineStr">
        <is>
          <t>Template by Automated Workflow · automatedworkflowllc.com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2" customWidth="1" min="3" max="3"/>
    <col width="30" customWidth="1" min="4" max="4"/>
    <col width="12" customWidth="1" min="5" max="5"/>
    <col width="14" customWidth="1" min="6" max="6"/>
  </cols>
  <sheetData>
    <row r="1" ht="28" customHeight="1">
      <c r="A1" s="6" t="inlineStr">
        <is>
          <t>WORK LOG · what got done   (sample rows — replace with yours)</t>
        </is>
      </c>
      <c r="B1" s="2" t="n"/>
      <c r="C1" s="2" t="n"/>
      <c r="D1" s="2" t="n"/>
      <c r="E1" s="2" t="n"/>
      <c r="F1" s="2" t="n"/>
    </row>
    <row r="2">
      <c r="A2" s="7" t="inlineStr">
        <is>
          <t>The Billed? column is a formula — it flags any job with no matching invoice. Don't overwrite column F.</t>
        </is>
      </c>
      <c r="E2" s="8" t="inlineStr"/>
    </row>
    <row r="3" ht="20" customHeight="1">
      <c r="A3" s="9" t="inlineStr">
        <is>
          <t>Job ID</t>
        </is>
      </c>
      <c r="B3" s="9" t="inlineStr">
        <is>
          <t>Date completed</t>
        </is>
      </c>
      <c r="C3" s="9" t="inlineStr">
        <is>
          <t>Customer</t>
        </is>
      </c>
      <c r="D3" s="9" t="inlineStr">
        <is>
          <t>Description</t>
        </is>
      </c>
      <c r="E3" s="9" t="inlineStr">
        <is>
          <t>Amount $</t>
        </is>
      </c>
      <c r="F3" s="9" t="inlineStr">
        <is>
          <t>Billed?</t>
        </is>
      </c>
    </row>
    <row r="4">
      <c r="A4" t="inlineStr">
        <is>
          <t>J-101</t>
        </is>
      </c>
      <c r="B4" t="inlineStr">
        <is>
          <t>2026-06-22</t>
        </is>
      </c>
      <c r="C4" t="inlineStr">
        <is>
          <t>Hargrove Property Grp</t>
        </is>
      </c>
      <c r="D4" t="inlineStr">
        <is>
          <t>Irrigation main repair</t>
        </is>
      </c>
      <c r="E4" s="10" t="n">
        <v>740</v>
      </c>
      <c r="F4" s="11">
        <f>IF(A4="","",IF(COUNTIF(Invoices!B$4:B$300,A4)=0,"NEVER BILLED",""))</f>
        <v/>
      </c>
    </row>
    <row r="5">
      <c r="A5" t="inlineStr">
        <is>
          <t>J-102</t>
        </is>
      </c>
      <c r="B5" t="inlineStr">
        <is>
          <t>2026-06-25</t>
        </is>
      </c>
      <c r="C5" t="inlineStr">
        <is>
          <t>Bell &amp; Sons HOA</t>
        </is>
      </c>
      <c r="D5" t="inlineStr">
        <is>
          <t>Storm cleanup, common area</t>
        </is>
      </c>
      <c r="E5" s="10" t="n">
        <v>1280</v>
      </c>
      <c r="F5" s="11">
        <f>IF(A5="","",IF(COUNTIF(Invoices!B$4:B$300,A5)=0,"NEVER BILLED",""))</f>
        <v/>
      </c>
    </row>
    <row r="6">
      <c r="A6" t="inlineStr">
        <is>
          <t>J-103</t>
        </is>
      </c>
      <c r="B6" t="inlineStr">
        <is>
          <t>2026-06-28</t>
        </is>
      </c>
      <c r="C6" t="inlineStr">
        <is>
          <t>Rivertown Storage</t>
        </is>
      </c>
      <c r="D6" t="inlineStr">
        <is>
          <t>Gate motor replacement</t>
        </is>
      </c>
      <c r="E6" s="10" t="n">
        <v>965</v>
      </c>
      <c r="F6" s="11">
        <f>IF(A6="","",IF(COUNTIF(Invoices!B$4:B$300,A6)=0,"NEVER BILLED",""))</f>
        <v/>
      </c>
    </row>
    <row r="7">
      <c r="A7" t="inlineStr">
        <is>
          <t>J-104</t>
        </is>
      </c>
      <c r="B7" t="inlineStr">
        <is>
          <t>2026-07-01</t>
        </is>
      </c>
      <c r="C7" t="inlineStr">
        <is>
          <t>Hargrove Property Grp</t>
        </is>
      </c>
      <c r="D7" t="inlineStr">
        <is>
          <t>Emergency leak call-out</t>
        </is>
      </c>
      <c r="E7" s="10" t="n">
        <v>410</v>
      </c>
      <c r="F7" s="11">
        <f>IF(A7="","",IF(COUNTIF(Invoices!B$4:B$300,A7)=0,"NEVER BILLED",""))</f>
        <v/>
      </c>
    </row>
    <row r="8">
      <c r="A8" t="inlineStr">
        <is>
          <t>J-105</t>
        </is>
      </c>
      <c r="B8" t="inlineStr">
        <is>
          <t>2026-07-02</t>
        </is>
      </c>
      <c r="C8" t="inlineStr">
        <is>
          <t>Coastal Dental</t>
        </is>
      </c>
      <c r="D8" t="inlineStr">
        <is>
          <t>Parking lot pressure wash</t>
        </is>
      </c>
      <c r="E8" s="10" t="n">
        <v>380</v>
      </c>
      <c r="F8" s="11">
        <f>IF(A8="","",IF(COUNTIF(Invoices!B$4:B$300,A8)=0,"NEVER BILLED",""))</f>
        <v/>
      </c>
    </row>
    <row r="9">
      <c r="A9" t="inlineStr">
        <is>
          <t>J-106</t>
        </is>
      </c>
      <c r="B9" t="inlineStr">
        <is>
          <t>2026-07-06</t>
        </is>
      </c>
      <c r="C9" t="inlineStr">
        <is>
          <t>Bell &amp; Sons HOA</t>
        </is>
      </c>
      <c r="D9" t="inlineStr">
        <is>
          <t>Fence section rebuild</t>
        </is>
      </c>
      <c r="E9" s="10" t="n">
        <v>1620</v>
      </c>
      <c r="F9" s="11">
        <f>IF(A9="","",IF(COUNTIF(Invoices!B$4:B$300,A9)=0,"NEVER BILLED",""))</f>
        <v/>
      </c>
    </row>
    <row r="10">
      <c r="A10" t="inlineStr">
        <is>
          <t>J-107</t>
        </is>
      </c>
      <c r="B10" t="inlineStr">
        <is>
          <t>2026-07-08</t>
        </is>
      </c>
      <c r="C10" t="inlineStr">
        <is>
          <t>Marlin Self-Serve</t>
        </is>
      </c>
      <c r="D10" t="inlineStr">
        <is>
          <t>Bay door track repair</t>
        </is>
      </c>
      <c r="E10" s="10" t="n">
        <v>540</v>
      </c>
      <c r="F10" s="11">
        <f>IF(A10="","",IF(COUNTIF(Invoices!B$4:B$300,A10)=0,"NEVER BILLED",""))</f>
        <v/>
      </c>
    </row>
    <row r="11">
      <c r="A11" t="inlineStr">
        <is>
          <t>J-108</t>
        </is>
      </c>
      <c r="B11" t="inlineStr">
        <is>
          <t>2026-07-09</t>
        </is>
      </c>
      <c r="C11" t="inlineStr">
        <is>
          <t>Rivertown Storage</t>
        </is>
      </c>
      <c r="D11" t="inlineStr">
        <is>
          <t>Unit door replacements (x3)</t>
        </is>
      </c>
      <c r="E11" s="10" t="n">
        <v>1150</v>
      </c>
      <c r="F11" s="11">
        <f>IF(A11="","",IF(COUNTIF(Invoices!B$4:B$300,A11)=0,"NEVER BILLED",""))</f>
        <v/>
      </c>
    </row>
    <row r="12">
      <c r="A12" t="inlineStr">
        <is>
          <t>J-109</t>
        </is>
      </c>
      <c r="B12" t="inlineStr">
        <is>
          <t>2026-07-12</t>
        </is>
      </c>
      <c r="C12" t="inlineStr">
        <is>
          <t>Coastal Dental</t>
        </is>
      </c>
      <c r="D12" t="inlineStr">
        <is>
          <t>After-hours lighting fix</t>
        </is>
      </c>
      <c r="E12" s="10" t="n">
        <v>295</v>
      </c>
      <c r="F12" s="11">
        <f>IF(A12="","",IF(COUNTIF(Invoices!B$4:B$300,A12)=0,"NEVER BILLED",""))</f>
        <v/>
      </c>
    </row>
    <row r="13">
      <c r="A13" t="inlineStr">
        <is>
          <t>J-110</t>
        </is>
      </c>
      <c r="B13" t="inlineStr">
        <is>
          <t>2026-07-14</t>
        </is>
      </c>
      <c r="C13" t="inlineStr">
        <is>
          <t>Northgate Church</t>
        </is>
      </c>
      <c r="D13" t="inlineStr">
        <is>
          <t>Grounds cleanup + haul-away</t>
        </is>
      </c>
      <c r="E13" s="10" t="n">
        <v>860</v>
      </c>
      <c r="F13" s="11">
        <f>IF(A13="","",IF(COUNTIF(Invoices!B$4:B$300,A13)=0,"NEVER BILLED",""))</f>
        <v/>
      </c>
    </row>
    <row r="14">
      <c r="A14" s="12" t="inlineStr">
        <is>
          <t>J-111</t>
        </is>
      </c>
      <c r="B14" s="12" t="inlineStr">
        <is>
          <t>2026-07-16</t>
        </is>
      </c>
      <c r="C14" s="12" t="inlineStr">
        <is>
          <t>Hargrove Property Grp</t>
        </is>
      </c>
      <c r="D14" s="12" t="inlineStr">
        <is>
          <t>Weekend emergency call-out</t>
        </is>
      </c>
      <c r="E14" s="13" t="n">
        <v>520</v>
      </c>
      <c r="F14" s="11">
        <f>IF(A14="","",IF(COUNTIF(Invoices!B$4:B$300,A14)=0,"NEVER BILLED",""))</f>
        <v/>
      </c>
    </row>
    <row r="15">
      <c r="A15" s="12" t="inlineStr">
        <is>
          <t>J-112</t>
        </is>
      </c>
      <c r="B15" s="12" t="inlineStr">
        <is>
          <t>2026-07-18</t>
        </is>
      </c>
      <c r="C15" s="12" t="inlineStr">
        <is>
          <t>Marlin Self-Serve</t>
        </is>
      </c>
      <c r="D15" s="12" t="inlineStr">
        <is>
          <t>Camera pole reset</t>
        </is>
      </c>
      <c r="E15" s="13" t="n">
        <v>310</v>
      </c>
      <c r="F15" s="11">
        <f>IF(A15="","",IF(COUNTIF(Invoices!B$4:B$300,A15)=0,"NEVER BILLED",""))</f>
        <v/>
      </c>
    </row>
    <row r="16">
      <c r="A16" t="inlineStr">
        <is>
          <t>J-113</t>
        </is>
      </c>
      <c r="B16" t="inlineStr">
        <is>
          <t>2026-07-21</t>
        </is>
      </c>
      <c r="C16" t="inlineStr">
        <is>
          <t>Bell &amp; Sons HOA</t>
        </is>
      </c>
      <c r="D16" t="inlineStr">
        <is>
          <t>Playground mulch install</t>
        </is>
      </c>
      <c r="E16" s="10" t="n">
        <v>990</v>
      </c>
      <c r="F16" s="11">
        <f>IF(A16="","",IF(COUNTIF(Invoices!B$4:B$300,A16)=0,"NEVER BILLED",""))</f>
        <v/>
      </c>
    </row>
    <row r="17">
      <c r="A17" s="12" t="inlineStr">
        <is>
          <t>J-114</t>
        </is>
      </c>
      <c r="B17" s="12" t="inlineStr">
        <is>
          <t>2026-07-24</t>
        </is>
      </c>
      <c r="C17" s="12" t="inlineStr">
        <is>
          <t>Northgate Church</t>
        </is>
      </c>
      <c r="D17" s="12" t="inlineStr">
        <is>
          <t>Gutter clear, full building</t>
        </is>
      </c>
      <c r="E17" s="13" t="n">
        <v>450</v>
      </c>
      <c r="F17" s="11">
        <f>IF(A17="","",IF(COUNTIF(Invoices!B$4:B$300,A17)=0,"NEVER BILLED",""))</f>
        <v/>
      </c>
    </row>
    <row r="18">
      <c r="F18" s="11">
        <f>IF(A18="","",IF(COUNTIF(Invoices!B$4:B$300,A18)=0,"NEVER BILLED",""))</f>
        <v/>
      </c>
    </row>
    <row r="19">
      <c r="F19" s="11">
        <f>IF(A19="","",IF(COUNTIF(Invoices!B$4:B$300,A19)=0,"NEVER BILLED",""))</f>
        <v/>
      </c>
    </row>
    <row r="20">
      <c r="F20" s="11">
        <f>IF(A20="","",IF(COUNTIF(Invoices!B$4:B$300,A20)=0,"NEVER BILLED",""))</f>
        <v/>
      </c>
    </row>
    <row r="21">
      <c r="F21" s="11">
        <f>IF(A21="","",IF(COUNTIF(Invoices!B$4:B$300,A21)=0,"NEVER BILLED",""))</f>
        <v/>
      </c>
    </row>
    <row r="22">
      <c r="F22" s="11">
        <f>IF(A22="","",IF(COUNTIF(Invoices!B$4:B$300,A22)=0,"NEVER BILLED",""))</f>
        <v/>
      </c>
    </row>
    <row r="23">
      <c r="F23" s="11">
        <f>IF(A23="","",IF(COUNTIF(Invoices!B$4:B$300,A23)=0,"NEVER BILLED",""))</f>
        <v/>
      </c>
    </row>
    <row r="24">
      <c r="F24" s="11">
        <f>IF(A24="","",IF(COUNTIF(Invoices!B$4:B$300,A24)=0,"NEVER BILLED",""))</f>
        <v/>
      </c>
    </row>
    <row r="25">
      <c r="F25" s="11">
        <f>IF(A25="","",IF(COUNTIF(Invoices!B$4:B$300,A25)=0,"NEVER BILLED",""))</f>
        <v/>
      </c>
    </row>
    <row r="26">
      <c r="F26" s="11">
        <f>IF(A26="","",IF(COUNTIF(Invoices!B$4:B$300,A26)=0,"NEVER BILLED",""))</f>
        <v/>
      </c>
    </row>
    <row r="27">
      <c r="F27" s="11">
        <f>IF(A27="","",IF(COUNTIF(Invoices!B$4:B$300,A27)=0,"NEVER BILLED",""))</f>
        <v/>
      </c>
    </row>
    <row r="28">
      <c r="F28" s="11">
        <f>IF(A28="","",IF(COUNTIF(Invoices!B$4:B$300,A28)=0,"NEVER BILLED",""))</f>
        <v/>
      </c>
    </row>
    <row r="29">
      <c r="F29" s="11">
        <f>IF(A29="","",IF(COUNTIF(Invoices!B$4:B$300,A29)=0,"NEVER BILLED",""))</f>
        <v/>
      </c>
    </row>
    <row r="30">
      <c r="F30" s="11">
        <f>IF(A30="","",IF(COUNTIF(Invoices!B$4:B$300,A30)=0,"NEVER BILLED",""))</f>
        <v/>
      </c>
    </row>
    <row r="31">
      <c r="F31" s="11">
        <f>IF(A31="","",IF(COUNTIF(Invoices!B$4:B$300,A31)=0,"NEVER BILLED",""))</f>
        <v/>
      </c>
    </row>
    <row r="32">
      <c r="F32" s="11">
        <f>IF(A32="","",IF(COUNTIF(Invoices!B$4:B$300,A32)=0,"NEVER BILLED",""))</f>
        <v/>
      </c>
    </row>
    <row r="33">
      <c r="F33" s="11">
        <f>IF(A33="","",IF(COUNTIF(Invoices!B$4:B$300,A33)=0,"NEVER BILLED",""))</f>
        <v/>
      </c>
    </row>
    <row r="34">
      <c r="F34" s="11">
        <f>IF(A34="","",IF(COUNTIF(Invoices!B$4:B$300,A34)=0,"NEVER BILLED",""))</f>
        <v/>
      </c>
    </row>
    <row r="35">
      <c r="F35" s="11">
        <f>IF(A35="","",IF(COUNTIF(Invoices!B$4:B$300,A35)=0,"NEVER BILLED",""))</f>
        <v/>
      </c>
    </row>
    <row r="36">
      <c r="F36" s="11">
        <f>IF(A36="","",IF(COUNTIF(Invoices!B$4:B$300,A36)=0,"NEVER BILLED",""))</f>
        <v/>
      </c>
    </row>
    <row r="37">
      <c r="F37" s="11">
        <f>IF(A37="","",IF(COUNTIF(Invoices!B$4:B$300,A37)=0,"NEVER BILLED",""))</f>
        <v/>
      </c>
    </row>
    <row r="38">
      <c r="F38" s="11">
        <f>IF(A38="","",IF(COUNTIF(Invoices!B$4:B$300,A38)=0,"NEVER BILLED",""))</f>
        <v/>
      </c>
    </row>
    <row r="39">
      <c r="F39" s="11">
        <f>IF(A39="","",IF(COUNTIF(Invoices!B$4:B$300,A39)=0,"NEVER BILLED",""))</f>
        <v/>
      </c>
    </row>
    <row r="40">
      <c r="F40" s="11">
        <f>IF(A40="","",IF(COUNTIF(Invoices!B$4:B$300,A40)=0,"NEVER BILLED",""))</f>
        <v/>
      </c>
    </row>
    <row r="41">
      <c r="F41" s="11">
        <f>IF(A41="","",IF(COUNTIF(Invoices!B$4:B$300,A41)=0,"NEVER BILLED",""))</f>
        <v/>
      </c>
    </row>
    <row r="42">
      <c r="F42" s="11">
        <f>IF(A42="","",IF(COUNTIF(Invoices!B$4:B$300,A42)=0,"NEVER BILLED",""))</f>
        <v/>
      </c>
    </row>
    <row r="43">
      <c r="F43" s="11">
        <f>IF(A43="","",IF(COUNTIF(Invoices!B$4:B$300,A43)=0,"NEVER BILLED",""))</f>
        <v/>
      </c>
    </row>
    <row r="44">
      <c r="F44" s="11">
        <f>IF(A44="","",IF(COUNTIF(Invoices!B$4:B$300,A44)=0,"NEVER BILLED",""))</f>
        <v/>
      </c>
    </row>
    <row r="45">
      <c r="F45" s="11">
        <f>IF(A45="","",IF(COUNTIF(Invoices!B$4:B$300,A45)=0,"NEVER BILLED",""))</f>
        <v/>
      </c>
    </row>
    <row r="46">
      <c r="F46" s="11">
        <f>IF(A46="","",IF(COUNTIF(Invoices!B$4:B$300,A46)=0,"NEVER BILLED",""))</f>
        <v/>
      </c>
    </row>
    <row r="47">
      <c r="F47" s="11">
        <f>IF(A47="","",IF(COUNTIF(Invoices!B$4:B$300,A47)=0,"NEVER BILLED",""))</f>
        <v/>
      </c>
    </row>
    <row r="48">
      <c r="F48" s="11">
        <f>IF(A48="","",IF(COUNTIF(Invoices!B$4:B$300,A48)=0,"NEVER BILLED",""))</f>
        <v/>
      </c>
    </row>
    <row r="49">
      <c r="F49" s="11">
        <f>IF(A49="","",IF(COUNTIF(Invoices!B$4:B$300,A49)=0,"NEVER BILLED",""))</f>
        <v/>
      </c>
    </row>
    <row r="50">
      <c r="F50" s="11">
        <f>IF(A50="","",IF(COUNTIF(Invoices!B$4:B$300,A50)=0,"NEVER BILLED",""))</f>
        <v/>
      </c>
    </row>
    <row r="51">
      <c r="F51" s="11">
        <f>IF(A51="","",IF(COUNTIF(Invoices!B$4:B$300,A51)=0,"NEVER BILLED",""))</f>
        <v/>
      </c>
    </row>
    <row r="52">
      <c r="F52" s="11">
        <f>IF(A52="","",IF(COUNTIF(Invoices!B$4:B$300,A52)=0,"NEVER BILLED",""))</f>
        <v/>
      </c>
    </row>
    <row r="53">
      <c r="F53" s="11">
        <f>IF(A53="","",IF(COUNTIF(Invoices!B$4:B$300,A53)=0,"NEVER BILLED",""))</f>
        <v/>
      </c>
    </row>
    <row r="54">
      <c r="F54" s="11">
        <f>IF(A54="","",IF(COUNTIF(Invoices!B$4:B$300,A54)=0,"NEVER BILLED",""))</f>
        <v/>
      </c>
    </row>
    <row r="55">
      <c r="F55" s="11">
        <f>IF(A55="","",IF(COUNTIF(Invoices!B$4:B$300,A55)=0,"NEVER BILLED",""))</f>
        <v/>
      </c>
    </row>
    <row r="56">
      <c r="F56" s="11">
        <f>IF(A56="","",IF(COUNTIF(Invoices!B$4:B$300,A56)=0,"NEVER BILLED",""))</f>
        <v/>
      </c>
    </row>
    <row r="57">
      <c r="F57" s="11">
        <f>IF(A57="","",IF(COUNTIF(Invoices!B$4:B$300,A57)=0,"NEVER BILLED",""))</f>
        <v/>
      </c>
    </row>
    <row r="58">
      <c r="F58" s="11">
        <f>IF(A58="","",IF(COUNTIF(Invoices!B$4:B$300,A58)=0,"NEVER BILLED",""))</f>
        <v/>
      </c>
    </row>
    <row r="59">
      <c r="F59" s="11">
        <f>IF(A59="","",IF(COUNTIF(Invoices!B$4:B$300,A59)=0,"NEVER BILLED",""))</f>
        <v/>
      </c>
    </row>
    <row r="60">
      <c r="F60" s="11">
        <f>IF(A60="","",IF(COUNTIF(Invoices!B$4:B$300,A60)=0,"NEVER BILLED",""))</f>
        <v/>
      </c>
    </row>
    <row r="61">
      <c r="F61" s="11">
        <f>IF(A61="","",IF(COUNTIF(Invoices!B$4:B$300,A61)=0,"NEVER BILLED",""))</f>
        <v/>
      </c>
    </row>
    <row r="62">
      <c r="F62" s="11">
        <f>IF(A62="","",IF(COUNTIF(Invoices!B$4:B$300,A62)=0,"NEVER BILLED",""))</f>
        <v/>
      </c>
    </row>
    <row r="63">
      <c r="F63" s="11">
        <f>IF(A63="","",IF(COUNTIF(Invoices!B$4:B$300,A63)=0,"NEVER BILLED",""))</f>
        <v/>
      </c>
    </row>
    <row r="64">
      <c r="F64" s="11">
        <f>IF(A64="","",IF(COUNTIF(Invoices!B$4:B$300,A64)=0,"NEVER BILLED",""))</f>
        <v/>
      </c>
    </row>
    <row r="65">
      <c r="F65" s="11">
        <f>IF(A65="","",IF(COUNTIF(Invoices!B$4:B$300,A65)=0,"NEVER BILLED",""))</f>
        <v/>
      </c>
    </row>
    <row r="66">
      <c r="F66" s="11">
        <f>IF(A66="","",IF(COUNTIF(Invoices!B$4:B$300,A66)=0,"NEVER BILLED",""))</f>
        <v/>
      </c>
    </row>
    <row r="67">
      <c r="F67" s="11">
        <f>IF(A67="","",IF(COUNTIF(Invoices!B$4:B$300,A67)=0,"NEVER BILLED",""))</f>
        <v/>
      </c>
    </row>
    <row r="68">
      <c r="F68" s="11">
        <f>IF(A68="","",IF(COUNTIF(Invoices!B$4:B$300,A68)=0,"NEVER BILLED",""))</f>
        <v/>
      </c>
    </row>
    <row r="69">
      <c r="F69" s="11">
        <f>IF(A69="","",IF(COUNTIF(Invoices!B$4:B$300,A69)=0,"NEVER BILLED",""))</f>
        <v/>
      </c>
    </row>
    <row r="70">
      <c r="F70" s="11">
        <f>IF(A70="","",IF(COUNTIF(Invoices!B$4:B$300,A70)=0,"NEVER BILLED",""))</f>
        <v/>
      </c>
    </row>
    <row r="71">
      <c r="F71" s="11">
        <f>IF(A71="","",IF(COUNTIF(Invoices!B$4:B$300,A71)=0,"NEVER BILLED",""))</f>
        <v/>
      </c>
    </row>
    <row r="72">
      <c r="F72" s="11">
        <f>IF(A72="","",IF(COUNTIF(Invoices!B$4:B$300,A72)=0,"NEVER BILLED",""))</f>
        <v/>
      </c>
    </row>
    <row r="73">
      <c r="F73" s="11">
        <f>IF(A73="","",IF(COUNTIF(Invoices!B$4:B$300,A73)=0,"NEVER BILLED",""))</f>
        <v/>
      </c>
    </row>
    <row r="74">
      <c r="F74" s="11">
        <f>IF(A74="","",IF(COUNTIF(Invoices!B$4:B$300,A74)=0,"NEVER BILLED",""))</f>
        <v/>
      </c>
    </row>
    <row r="75">
      <c r="F75" s="11">
        <f>IF(A75="","",IF(COUNTIF(Invoices!B$4:B$300,A75)=0,"NEVER BILLED",""))</f>
        <v/>
      </c>
    </row>
    <row r="76">
      <c r="F76" s="11">
        <f>IF(A76="","",IF(COUNTIF(Invoices!B$4:B$300,A76)=0,"NEVER BILLED",""))</f>
        <v/>
      </c>
    </row>
    <row r="77">
      <c r="F77" s="11">
        <f>IF(A77="","",IF(COUNTIF(Invoices!B$4:B$300,A77)=0,"NEVER BILLED",""))</f>
        <v/>
      </c>
    </row>
    <row r="78">
      <c r="F78" s="11">
        <f>IF(A78="","",IF(COUNTIF(Invoices!B$4:B$300,A78)=0,"NEVER BILLED",""))</f>
        <v/>
      </c>
    </row>
    <row r="79">
      <c r="F79" s="11">
        <f>IF(A79="","",IF(COUNTIF(Invoices!B$4:B$300,A79)=0,"NEVER BILLED",""))</f>
        <v/>
      </c>
    </row>
    <row r="80">
      <c r="F80" s="11">
        <f>IF(A80="","",IF(COUNTIF(Invoices!B$4:B$300,A80)=0,"NEVER BILLED",""))</f>
        <v/>
      </c>
    </row>
    <row r="81">
      <c r="F81" s="11">
        <f>IF(A81="","",IF(COUNTIF(Invoices!B$4:B$300,A81)=0,"NEVER BILLED",""))</f>
        <v/>
      </c>
    </row>
    <row r="82">
      <c r="F82" s="11">
        <f>IF(A82="","",IF(COUNTIF(Invoices!B$4:B$300,A82)=0,"NEVER BILLED",""))</f>
        <v/>
      </c>
    </row>
    <row r="83">
      <c r="F83" s="11">
        <f>IF(A83="","",IF(COUNTIF(Invoices!B$4:B$300,A83)=0,"NEVER BILLED",""))</f>
        <v/>
      </c>
    </row>
    <row r="84">
      <c r="F84" s="11">
        <f>IF(A84="","",IF(COUNTIF(Invoices!B$4:B$300,A84)=0,"NEVER BILLED",""))</f>
        <v/>
      </c>
    </row>
    <row r="85">
      <c r="F85" s="11">
        <f>IF(A85="","",IF(COUNTIF(Invoices!B$4:B$300,A85)=0,"NEVER BILLED",""))</f>
        <v/>
      </c>
    </row>
    <row r="86">
      <c r="F86" s="11">
        <f>IF(A86="","",IF(COUNTIF(Invoices!B$4:B$300,A86)=0,"NEVER BILLED",""))</f>
        <v/>
      </c>
    </row>
    <row r="87">
      <c r="F87" s="11">
        <f>IF(A87="","",IF(COUNTIF(Invoices!B$4:B$300,A87)=0,"NEVER BILLED",""))</f>
        <v/>
      </c>
    </row>
    <row r="88">
      <c r="F88" s="11">
        <f>IF(A88="","",IF(COUNTIF(Invoices!B$4:B$300,A88)=0,"NEVER BILLED",""))</f>
        <v/>
      </c>
    </row>
    <row r="89">
      <c r="F89" s="11">
        <f>IF(A89="","",IF(COUNTIF(Invoices!B$4:B$300,A89)=0,"NEVER BILLED",""))</f>
        <v/>
      </c>
    </row>
    <row r="90">
      <c r="F90" s="11">
        <f>IF(A90="","",IF(COUNTIF(Invoices!B$4:B$300,A90)=0,"NEVER BILLED",""))</f>
        <v/>
      </c>
    </row>
    <row r="91">
      <c r="F91" s="11">
        <f>IF(A91="","",IF(COUNTIF(Invoices!B$4:B$300,A91)=0,"NEVER BILLED",""))</f>
        <v/>
      </c>
    </row>
    <row r="92">
      <c r="F92" s="11">
        <f>IF(A92="","",IF(COUNTIF(Invoices!B$4:B$300,A92)=0,"NEVER BILLED",""))</f>
        <v/>
      </c>
    </row>
    <row r="93">
      <c r="F93" s="11">
        <f>IF(A93="","",IF(COUNTIF(Invoices!B$4:B$300,A93)=0,"NEVER BILLED",""))</f>
        <v/>
      </c>
    </row>
    <row r="94">
      <c r="F94" s="11">
        <f>IF(A94="","",IF(COUNTIF(Invoices!B$4:B$300,A94)=0,"NEVER BILLED",""))</f>
        <v/>
      </c>
    </row>
    <row r="95">
      <c r="F95" s="11">
        <f>IF(A95="","",IF(COUNTIF(Invoices!B$4:B$300,A95)=0,"NEVER BILLED",""))</f>
        <v/>
      </c>
    </row>
    <row r="96">
      <c r="F96" s="11">
        <f>IF(A96="","",IF(COUNTIF(Invoices!B$4:B$300,A96)=0,"NEVER BILLED",""))</f>
        <v/>
      </c>
    </row>
    <row r="97">
      <c r="F97" s="11">
        <f>IF(A97="","",IF(COUNTIF(Invoices!B$4:B$300,A97)=0,"NEVER BILLED",""))</f>
        <v/>
      </c>
    </row>
    <row r="98">
      <c r="F98" s="11">
        <f>IF(A98="","",IF(COUNTIF(Invoices!B$4:B$300,A98)=0,"NEVER BILLED",""))</f>
        <v/>
      </c>
    </row>
    <row r="99">
      <c r="F99" s="11">
        <f>IF(A99="","",IF(COUNTIF(Invoices!B$4:B$300,A99)=0,"NEVER BILLED",""))</f>
        <v/>
      </c>
    </row>
    <row r="100">
      <c r="F100" s="11">
        <f>IF(A100="","",IF(COUNTIF(Invoices!B$4:B$300,A100)=0,"NEVER BILLED",""))</f>
        <v/>
      </c>
    </row>
    <row r="101">
      <c r="F101" s="11">
        <f>IF(A101="","",IF(COUNTIF(Invoices!B$4:B$300,A101)=0,"NEVER BILLED",""))</f>
        <v/>
      </c>
    </row>
    <row r="102">
      <c r="F102" s="11">
        <f>IF(A102="","",IF(COUNTIF(Invoices!B$4:B$300,A102)=0,"NEVER BILLED",""))</f>
        <v/>
      </c>
    </row>
    <row r="103">
      <c r="F103" s="11">
        <f>IF(A103="","",IF(COUNTIF(Invoices!B$4:B$300,A103)=0,"NEVER BILLED",""))</f>
        <v/>
      </c>
    </row>
    <row r="104">
      <c r="F104" s="11">
        <f>IF(A104="","",IF(COUNTIF(Invoices!B$4:B$300,A104)=0,"NEVER BILLED",""))</f>
        <v/>
      </c>
    </row>
    <row r="105">
      <c r="F105" s="11">
        <f>IF(A105="","",IF(COUNTIF(Invoices!B$4:B$300,A105)=0,"NEVER BILLED",""))</f>
        <v/>
      </c>
    </row>
    <row r="106">
      <c r="F106" s="11">
        <f>IF(A106="","",IF(COUNTIF(Invoices!B$4:B$300,A106)=0,"NEVER BILLED",""))</f>
        <v/>
      </c>
    </row>
    <row r="107">
      <c r="F107" s="11">
        <f>IF(A107="","",IF(COUNTIF(Invoices!B$4:B$300,A107)=0,"NEVER BILLED",""))</f>
        <v/>
      </c>
    </row>
    <row r="108">
      <c r="F108" s="11">
        <f>IF(A108="","",IF(COUNTIF(Invoices!B$4:B$300,A108)=0,"NEVER BILLED",""))</f>
        <v/>
      </c>
    </row>
    <row r="109">
      <c r="F109" s="11">
        <f>IF(A109="","",IF(COUNTIF(Invoices!B$4:B$300,A109)=0,"NEVER BILLED",""))</f>
        <v/>
      </c>
    </row>
    <row r="110">
      <c r="F110" s="11">
        <f>IF(A110="","",IF(COUNTIF(Invoices!B$4:B$300,A110)=0,"NEVER BILLED",""))</f>
        <v/>
      </c>
    </row>
    <row r="111">
      <c r="F111" s="11">
        <f>IF(A111="","",IF(COUNTIF(Invoices!B$4:B$300,A111)=0,"NEVER BILLED",""))</f>
        <v/>
      </c>
    </row>
    <row r="112">
      <c r="F112" s="11">
        <f>IF(A112="","",IF(COUNTIF(Invoices!B$4:B$300,A112)=0,"NEVER BILLED",""))</f>
        <v/>
      </c>
    </row>
    <row r="113">
      <c r="F113" s="11">
        <f>IF(A113="","",IF(COUNTIF(Invoices!B$4:B$300,A113)=0,"NEVER BILLED",""))</f>
        <v/>
      </c>
    </row>
    <row r="114">
      <c r="F114" s="11">
        <f>IF(A114="","",IF(COUNTIF(Invoices!B$4:B$300,A114)=0,"NEVER BILLED",""))</f>
        <v/>
      </c>
    </row>
    <row r="115">
      <c r="F115" s="11">
        <f>IF(A115="","",IF(COUNTIF(Invoices!B$4:B$300,A115)=0,"NEVER BILLED",""))</f>
        <v/>
      </c>
    </row>
    <row r="116">
      <c r="F116" s="11">
        <f>IF(A116="","",IF(COUNTIF(Invoices!B$4:B$300,A116)=0,"NEVER BILLED",""))</f>
        <v/>
      </c>
    </row>
    <row r="117">
      <c r="F117" s="11">
        <f>IF(A117="","",IF(COUNTIF(Invoices!B$4:B$300,A117)=0,"NEVER BILLED",""))</f>
        <v/>
      </c>
    </row>
    <row r="118">
      <c r="F118" s="11">
        <f>IF(A118="","",IF(COUNTIF(Invoices!B$4:B$300,A118)=0,"NEVER BILLED",""))</f>
        <v/>
      </c>
    </row>
    <row r="119">
      <c r="F119" s="11">
        <f>IF(A119="","",IF(COUNTIF(Invoices!B$4:B$300,A119)=0,"NEVER BILLED",""))</f>
        <v/>
      </c>
    </row>
    <row r="120">
      <c r="F120" s="11">
        <f>IF(A120="","",IF(COUNTIF(Invoices!B$4:B$300,A120)=0,"NEVER BILLED",""))</f>
        <v/>
      </c>
    </row>
    <row r="121">
      <c r="F121" s="11">
        <f>IF(A121="","",IF(COUNTIF(Invoices!B$4:B$300,A121)=0,"NEVER BILLED",""))</f>
        <v/>
      </c>
    </row>
    <row r="122">
      <c r="F122" s="11">
        <f>IF(A122="","",IF(COUNTIF(Invoices!B$4:B$300,A122)=0,"NEVER BILLED",""))</f>
        <v/>
      </c>
    </row>
    <row r="123">
      <c r="F123" s="11">
        <f>IF(A123="","",IF(COUNTIF(Invoices!B$4:B$300,A123)=0,"NEVER BILLED",""))</f>
        <v/>
      </c>
    </row>
    <row r="124">
      <c r="F124" s="11">
        <f>IF(A124="","",IF(COUNTIF(Invoices!B$4:B$300,A124)=0,"NEVER BILLED",""))</f>
        <v/>
      </c>
    </row>
    <row r="125">
      <c r="F125" s="11">
        <f>IF(A125="","",IF(COUNTIF(Invoices!B$4:B$300,A125)=0,"NEVER BILLED",""))</f>
        <v/>
      </c>
    </row>
    <row r="126">
      <c r="F126" s="11">
        <f>IF(A126="","",IF(COUNTIF(Invoices!B$4:B$300,A126)=0,"NEVER BILLED",""))</f>
        <v/>
      </c>
    </row>
    <row r="127">
      <c r="F127" s="11">
        <f>IF(A127="","",IF(COUNTIF(Invoices!B$4:B$300,A127)=0,"NEVER BILLED",""))</f>
        <v/>
      </c>
    </row>
    <row r="128">
      <c r="F128" s="11">
        <f>IF(A128="","",IF(COUNTIF(Invoices!B$4:B$300,A128)=0,"NEVER BILLED",""))</f>
        <v/>
      </c>
    </row>
    <row r="129">
      <c r="F129" s="11">
        <f>IF(A129="","",IF(COUNTIF(Invoices!B$4:B$300,A129)=0,"NEVER BILLED",""))</f>
        <v/>
      </c>
    </row>
    <row r="130">
      <c r="F130" s="11">
        <f>IF(A130="","",IF(COUNTIF(Invoices!B$4:B$300,A130)=0,"NEVER BILLED",""))</f>
        <v/>
      </c>
    </row>
    <row r="131">
      <c r="F131" s="11">
        <f>IF(A131="","",IF(COUNTIF(Invoices!B$4:B$300,A131)=0,"NEVER BILLED",""))</f>
        <v/>
      </c>
    </row>
    <row r="132">
      <c r="F132" s="11">
        <f>IF(A132="","",IF(COUNTIF(Invoices!B$4:B$300,A132)=0,"NEVER BILLED",""))</f>
        <v/>
      </c>
    </row>
    <row r="133">
      <c r="F133" s="11">
        <f>IF(A133="","",IF(COUNTIF(Invoices!B$4:B$300,A133)=0,"NEVER BILLED",""))</f>
        <v/>
      </c>
    </row>
    <row r="134">
      <c r="F134" s="11">
        <f>IF(A134="","",IF(COUNTIF(Invoices!B$4:B$300,A134)=0,"NEVER BILLED",""))</f>
        <v/>
      </c>
    </row>
    <row r="135">
      <c r="F135" s="11">
        <f>IF(A135="","",IF(COUNTIF(Invoices!B$4:B$300,A135)=0,"NEVER BILLED",""))</f>
        <v/>
      </c>
    </row>
    <row r="136">
      <c r="F136" s="11">
        <f>IF(A136="","",IF(COUNTIF(Invoices!B$4:B$300,A136)=0,"NEVER BILLED",""))</f>
        <v/>
      </c>
    </row>
    <row r="137">
      <c r="F137" s="11">
        <f>IF(A137="","",IF(COUNTIF(Invoices!B$4:B$300,A137)=0,"NEVER BILLED",""))</f>
        <v/>
      </c>
    </row>
    <row r="138">
      <c r="F138" s="11">
        <f>IF(A138="","",IF(COUNTIF(Invoices!B$4:B$300,A138)=0,"NEVER BILLED",""))</f>
        <v/>
      </c>
    </row>
    <row r="139">
      <c r="F139" s="11">
        <f>IF(A139="","",IF(COUNTIF(Invoices!B$4:B$300,A139)=0,"NEVER BILLED",""))</f>
        <v/>
      </c>
    </row>
    <row r="140">
      <c r="F140" s="11">
        <f>IF(A140="","",IF(COUNTIF(Invoices!B$4:B$300,A140)=0,"NEVER BILLED",""))</f>
        <v/>
      </c>
    </row>
    <row r="141">
      <c r="F141" s="11">
        <f>IF(A141="","",IF(COUNTIF(Invoices!B$4:B$300,A141)=0,"NEVER BILLED",""))</f>
        <v/>
      </c>
    </row>
    <row r="142">
      <c r="F142" s="11">
        <f>IF(A142="","",IF(COUNTIF(Invoices!B$4:B$300,A142)=0,"NEVER BILLED",""))</f>
        <v/>
      </c>
    </row>
    <row r="143">
      <c r="F143" s="11">
        <f>IF(A143="","",IF(COUNTIF(Invoices!B$4:B$300,A143)=0,"NEVER BILLED",""))</f>
        <v/>
      </c>
    </row>
    <row r="144">
      <c r="F144" s="11">
        <f>IF(A144="","",IF(COUNTIF(Invoices!B$4:B$300,A144)=0,"NEVER BILLED",""))</f>
        <v/>
      </c>
    </row>
    <row r="145">
      <c r="F145" s="11">
        <f>IF(A145="","",IF(COUNTIF(Invoices!B$4:B$300,A145)=0,"NEVER BILLED",""))</f>
        <v/>
      </c>
    </row>
    <row r="146">
      <c r="F146" s="11">
        <f>IF(A146="","",IF(COUNTIF(Invoices!B$4:B$300,A146)=0,"NEVER BILLED",""))</f>
        <v/>
      </c>
    </row>
    <row r="147">
      <c r="F147" s="11">
        <f>IF(A147="","",IF(COUNTIF(Invoices!B$4:B$300,A147)=0,"NEVER BILLED",""))</f>
        <v/>
      </c>
    </row>
    <row r="148">
      <c r="F148" s="11">
        <f>IF(A148="","",IF(COUNTIF(Invoices!B$4:B$300,A148)=0,"NEVER BILLED",""))</f>
        <v/>
      </c>
    </row>
    <row r="149">
      <c r="F149" s="11">
        <f>IF(A149="","",IF(COUNTIF(Invoices!B$4:B$300,A149)=0,"NEVER BILLED",""))</f>
        <v/>
      </c>
    </row>
    <row r="150">
      <c r="F150" s="11">
        <f>IF(A150="","",IF(COUNTIF(Invoices!B$4:B$300,A150)=0,"NEVER BILLED",""))</f>
        <v/>
      </c>
    </row>
    <row r="151">
      <c r="F151" s="11">
        <f>IF(A151="","",IF(COUNTIF(Invoices!B$4:B$300,A151)=0,"NEVER BILLED",""))</f>
        <v/>
      </c>
    </row>
    <row r="152">
      <c r="F152" s="11">
        <f>IF(A152="","",IF(COUNTIF(Invoices!B$4:B$300,A152)=0,"NEVER BILLED",""))</f>
        <v/>
      </c>
    </row>
    <row r="153">
      <c r="F153" s="11">
        <f>IF(A153="","",IF(COUNTIF(Invoices!B$4:B$300,A153)=0,"NEVER BILLED",""))</f>
        <v/>
      </c>
    </row>
    <row r="154">
      <c r="F154" s="11">
        <f>IF(A154="","",IF(COUNTIF(Invoices!B$4:B$300,A154)=0,"NEVER BILLED",""))</f>
        <v/>
      </c>
    </row>
    <row r="155">
      <c r="F155" s="11">
        <f>IF(A155="","",IF(COUNTIF(Invoices!B$4:B$300,A155)=0,"NEVER BILLED",""))</f>
        <v/>
      </c>
    </row>
    <row r="156">
      <c r="F156" s="11">
        <f>IF(A156="","",IF(COUNTIF(Invoices!B$4:B$300,A156)=0,"NEVER BILLED",""))</f>
        <v/>
      </c>
    </row>
    <row r="157">
      <c r="F157" s="11">
        <f>IF(A157="","",IF(COUNTIF(Invoices!B$4:B$300,A157)=0,"NEVER BILLED",""))</f>
        <v/>
      </c>
    </row>
    <row r="158">
      <c r="F158" s="11">
        <f>IF(A158="","",IF(COUNTIF(Invoices!B$4:B$300,A158)=0,"NEVER BILLED",""))</f>
        <v/>
      </c>
    </row>
    <row r="159">
      <c r="F159" s="11">
        <f>IF(A159="","",IF(COUNTIF(Invoices!B$4:B$300,A159)=0,"NEVER BILLED",""))</f>
        <v/>
      </c>
    </row>
    <row r="160">
      <c r="F160" s="11">
        <f>IF(A160="","",IF(COUNTIF(Invoices!B$4:B$300,A160)=0,"NEVER BILLED",""))</f>
        <v/>
      </c>
    </row>
    <row r="161">
      <c r="F161" s="11">
        <f>IF(A161="","",IF(COUNTIF(Invoices!B$4:B$300,A161)=0,"NEVER BILLED",""))</f>
        <v/>
      </c>
    </row>
    <row r="162">
      <c r="F162" s="11">
        <f>IF(A162="","",IF(COUNTIF(Invoices!B$4:B$300,A162)=0,"NEVER BILLED",""))</f>
        <v/>
      </c>
    </row>
    <row r="163">
      <c r="F163" s="11">
        <f>IF(A163="","",IF(COUNTIF(Invoices!B$4:B$300,A163)=0,"NEVER BILLED",""))</f>
        <v/>
      </c>
    </row>
    <row r="164">
      <c r="F164" s="11">
        <f>IF(A164="","",IF(COUNTIF(Invoices!B$4:B$300,A164)=0,"NEVER BILLED",""))</f>
        <v/>
      </c>
    </row>
    <row r="165">
      <c r="F165" s="11">
        <f>IF(A165="","",IF(COUNTIF(Invoices!B$4:B$300,A165)=0,"NEVER BILLED",""))</f>
        <v/>
      </c>
    </row>
    <row r="166">
      <c r="F166" s="11">
        <f>IF(A166="","",IF(COUNTIF(Invoices!B$4:B$300,A166)=0,"NEVER BILLED",""))</f>
        <v/>
      </c>
    </row>
    <row r="167">
      <c r="F167" s="11">
        <f>IF(A167="","",IF(COUNTIF(Invoices!B$4:B$300,A167)=0,"NEVER BILLED",""))</f>
        <v/>
      </c>
    </row>
    <row r="168">
      <c r="F168" s="11">
        <f>IF(A168="","",IF(COUNTIF(Invoices!B$4:B$300,A168)=0,"NEVER BILLED",""))</f>
        <v/>
      </c>
    </row>
    <row r="169">
      <c r="F169" s="11">
        <f>IF(A169="","",IF(COUNTIF(Invoices!B$4:B$300,A169)=0,"NEVER BILLED",""))</f>
        <v/>
      </c>
    </row>
    <row r="170">
      <c r="F170" s="11">
        <f>IF(A170="","",IF(COUNTIF(Invoices!B$4:B$300,A170)=0,"NEVER BILLED",""))</f>
        <v/>
      </c>
    </row>
    <row r="171">
      <c r="F171" s="11">
        <f>IF(A171="","",IF(COUNTIF(Invoices!B$4:B$300,A171)=0,"NEVER BILLED",""))</f>
        <v/>
      </c>
    </row>
    <row r="172">
      <c r="F172" s="11">
        <f>IF(A172="","",IF(COUNTIF(Invoices!B$4:B$300,A172)=0,"NEVER BILLED",""))</f>
        <v/>
      </c>
    </row>
    <row r="173">
      <c r="F173" s="11">
        <f>IF(A173="","",IF(COUNTIF(Invoices!B$4:B$300,A173)=0,"NEVER BILLED",""))</f>
        <v/>
      </c>
    </row>
    <row r="174">
      <c r="F174" s="11">
        <f>IF(A174="","",IF(COUNTIF(Invoices!B$4:B$300,A174)=0,"NEVER BILLED",""))</f>
        <v/>
      </c>
    </row>
    <row r="175">
      <c r="F175" s="11">
        <f>IF(A175="","",IF(COUNTIF(Invoices!B$4:B$300,A175)=0,"NEVER BILLED",""))</f>
        <v/>
      </c>
    </row>
    <row r="176">
      <c r="F176" s="11">
        <f>IF(A176="","",IF(COUNTIF(Invoices!B$4:B$300,A176)=0,"NEVER BILLED",""))</f>
        <v/>
      </c>
    </row>
    <row r="177">
      <c r="F177" s="11">
        <f>IF(A177="","",IF(COUNTIF(Invoices!B$4:B$300,A177)=0,"NEVER BILLED",""))</f>
        <v/>
      </c>
    </row>
    <row r="178">
      <c r="F178" s="11">
        <f>IF(A178="","",IF(COUNTIF(Invoices!B$4:B$300,A178)=0,"NEVER BILLED",""))</f>
        <v/>
      </c>
    </row>
    <row r="179">
      <c r="F179" s="11">
        <f>IF(A179="","",IF(COUNTIF(Invoices!B$4:B$300,A179)=0,"NEVER BILLED",""))</f>
        <v/>
      </c>
    </row>
    <row r="180">
      <c r="F180" s="11">
        <f>IF(A180="","",IF(COUNTIF(Invoices!B$4:B$300,A180)=0,"NEVER BILLED",""))</f>
        <v/>
      </c>
    </row>
    <row r="181">
      <c r="F181" s="11">
        <f>IF(A181="","",IF(COUNTIF(Invoices!B$4:B$300,A181)=0,"NEVER BILLED",""))</f>
        <v/>
      </c>
    </row>
    <row r="182">
      <c r="F182" s="11">
        <f>IF(A182="","",IF(COUNTIF(Invoices!B$4:B$300,A182)=0,"NEVER BILLED",""))</f>
        <v/>
      </c>
    </row>
    <row r="183">
      <c r="F183" s="11">
        <f>IF(A183="","",IF(COUNTIF(Invoices!B$4:B$300,A183)=0,"NEVER BILLED",""))</f>
        <v/>
      </c>
    </row>
    <row r="184">
      <c r="F184" s="11">
        <f>IF(A184="","",IF(COUNTIF(Invoices!B$4:B$300,A184)=0,"NEVER BILLED",""))</f>
        <v/>
      </c>
    </row>
    <row r="185">
      <c r="F185" s="11">
        <f>IF(A185="","",IF(COUNTIF(Invoices!B$4:B$300,A185)=0,"NEVER BILLED",""))</f>
        <v/>
      </c>
    </row>
    <row r="186">
      <c r="F186" s="11">
        <f>IF(A186="","",IF(COUNTIF(Invoices!B$4:B$300,A186)=0,"NEVER BILLED",""))</f>
        <v/>
      </c>
    </row>
    <row r="187">
      <c r="F187" s="11">
        <f>IF(A187="","",IF(COUNTIF(Invoices!B$4:B$300,A187)=0,"NEVER BILLED",""))</f>
        <v/>
      </c>
    </row>
    <row r="188">
      <c r="F188" s="11">
        <f>IF(A188="","",IF(COUNTIF(Invoices!B$4:B$300,A188)=0,"NEVER BILLED",""))</f>
        <v/>
      </c>
    </row>
    <row r="189">
      <c r="F189" s="11">
        <f>IF(A189="","",IF(COUNTIF(Invoices!B$4:B$300,A189)=0,"NEVER BILLED",""))</f>
        <v/>
      </c>
    </row>
    <row r="190">
      <c r="F190" s="11">
        <f>IF(A190="","",IF(COUNTIF(Invoices!B$4:B$300,A190)=0,"NEVER BILLED",""))</f>
        <v/>
      </c>
    </row>
    <row r="191">
      <c r="F191" s="11">
        <f>IF(A191="","",IF(COUNTIF(Invoices!B$4:B$300,A191)=0,"NEVER BILLED",""))</f>
        <v/>
      </c>
    </row>
    <row r="192">
      <c r="F192" s="11">
        <f>IF(A192="","",IF(COUNTIF(Invoices!B$4:B$300,A192)=0,"NEVER BILLED",""))</f>
        <v/>
      </c>
    </row>
    <row r="193">
      <c r="F193" s="11">
        <f>IF(A193="","",IF(COUNTIF(Invoices!B$4:B$300,A193)=0,"NEVER BILLED",""))</f>
        <v/>
      </c>
    </row>
    <row r="194">
      <c r="F194" s="11">
        <f>IF(A194="","",IF(COUNTIF(Invoices!B$4:B$300,A194)=0,"NEVER BILLED",""))</f>
        <v/>
      </c>
    </row>
    <row r="195">
      <c r="F195" s="11">
        <f>IF(A195="","",IF(COUNTIF(Invoices!B$4:B$300,A195)=0,"NEVER BILLED",""))</f>
        <v/>
      </c>
    </row>
    <row r="196">
      <c r="F196" s="11">
        <f>IF(A196="","",IF(COUNTIF(Invoices!B$4:B$300,A196)=0,"NEVER BILLED",""))</f>
        <v/>
      </c>
    </row>
    <row r="197">
      <c r="F197" s="11">
        <f>IF(A197="","",IF(COUNTIF(Invoices!B$4:B$300,A197)=0,"NEVER BILLED",""))</f>
        <v/>
      </c>
    </row>
    <row r="198">
      <c r="F198" s="11">
        <f>IF(A198="","",IF(COUNTIF(Invoices!B$4:B$300,A198)=0,"NEVER BILLED",""))</f>
        <v/>
      </c>
    </row>
    <row r="199">
      <c r="F199" s="11">
        <f>IF(A199="","",IF(COUNTIF(Invoices!B$4:B$300,A199)=0,"NEVER BILLED",""))</f>
        <v/>
      </c>
    </row>
    <row r="200">
      <c r="F200" s="11">
        <f>IF(A200="","",IF(COUNTIF(Invoices!B$4:B$300,A200)=0,"NEVER BILLED",""))</f>
        <v/>
      </c>
    </row>
    <row r="201">
      <c r="F201" s="11">
        <f>IF(A201="","",IF(COUNTIF(Invoices!B$4:B$300,A201)=0,"NEVER BILLED",""))</f>
        <v/>
      </c>
    </row>
    <row r="202">
      <c r="F202" s="11">
        <f>IF(A202="","",IF(COUNTIF(Invoices!B$4:B$300,A202)=0,"NEVER BILLED",""))</f>
        <v/>
      </c>
    </row>
    <row r="203">
      <c r="F203" s="11">
        <f>IF(A203="","",IF(COUNTIF(Invoices!B$4:B$300,A203)=0,"NEVER BILLED",""))</f>
        <v/>
      </c>
    </row>
    <row r="204">
      <c r="F204" s="11">
        <f>IF(A204="","",IF(COUNTIF(Invoices!B$4:B$300,A204)=0,"NEVER BILLED",""))</f>
        <v/>
      </c>
    </row>
    <row r="205">
      <c r="F205" s="11">
        <f>IF(A205="","",IF(COUNTIF(Invoices!B$4:B$300,A205)=0,"NEVER BILLED",""))</f>
        <v/>
      </c>
    </row>
    <row r="206">
      <c r="F206" s="11">
        <f>IF(A206="","",IF(COUNTIF(Invoices!B$4:B$300,A206)=0,"NEVER BILLED",""))</f>
        <v/>
      </c>
    </row>
    <row r="207">
      <c r="F207" s="11">
        <f>IF(A207="","",IF(COUNTIF(Invoices!B$4:B$300,A207)=0,"NEVER BILLED",""))</f>
        <v/>
      </c>
    </row>
    <row r="208">
      <c r="F208" s="11">
        <f>IF(A208="","",IF(COUNTIF(Invoices!B$4:B$300,A208)=0,"NEVER BILLED",""))</f>
        <v/>
      </c>
    </row>
    <row r="209">
      <c r="F209" s="11">
        <f>IF(A209="","",IF(COUNTIF(Invoices!B$4:B$300,A209)=0,"NEVER BILLED",""))</f>
        <v/>
      </c>
    </row>
    <row r="210">
      <c r="F210" s="11">
        <f>IF(A210="","",IF(COUNTIF(Invoices!B$4:B$300,A210)=0,"NEVER BILLED",""))</f>
        <v/>
      </c>
    </row>
    <row r="211">
      <c r="F211" s="11">
        <f>IF(A211="","",IF(COUNTIF(Invoices!B$4:B$300,A211)=0,"NEVER BILLED",""))</f>
        <v/>
      </c>
    </row>
    <row r="212">
      <c r="F212" s="11">
        <f>IF(A212="","",IF(COUNTIF(Invoices!B$4:B$300,A212)=0,"NEVER BILLED",""))</f>
        <v/>
      </c>
    </row>
    <row r="213">
      <c r="F213" s="11">
        <f>IF(A213="","",IF(COUNTIF(Invoices!B$4:B$300,A213)=0,"NEVER BILLED",""))</f>
        <v/>
      </c>
    </row>
    <row r="214">
      <c r="F214" s="11">
        <f>IF(A214="","",IF(COUNTIF(Invoices!B$4:B$300,A214)=0,"NEVER BILLED",""))</f>
        <v/>
      </c>
    </row>
    <row r="215">
      <c r="F215" s="11">
        <f>IF(A215="","",IF(COUNTIF(Invoices!B$4:B$300,A215)=0,"NEVER BILLED",""))</f>
        <v/>
      </c>
    </row>
    <row r="216">
      <c r="F216" s="11">
        <f>IF(A216="","",IF(COUNTIF(Invoices!B$4:B$300,A216)=0,"NEVER BILLED",""))</f>
        <v/>
      </c>
    </row>
    <row r="217">
      <c r="F217" s="11">
        <f>IF(A217="","",IF(COUNTIF(Invoices!B$4:B$300,A217)=0,"NEVER BILLED",""))</f>
        <v/>
      </c>
    </row>
    <row r="218">
      <c r="F218" s="11">
        <f>IF(A218="","",IF(COUNTIF(Invoices!B$4:B$300,A218)=0,"NEVER BILLED",""))</f>
        <v/>
      </c>
    </row>
    <row r="219">
      <c r="F219" s="11">
        <f>IF(A219="","",IF(COUNTIF(Invoices!B$4:B$300,A219)=0,"NEVER BILLED",""))</f>
        <v/>
      </c>
    </row>
    <row r="220">
      <c r="F220" s="11">
        <f>IF(A220="","",IF(COUNTIF(Invoices!B$4:B$300,A220)=0,"NEVER BILLED",""))</f>
        <v/>
      </c>
    </row>
    <row r="221">
      <c r="F221" s="11">
        <f>IF(A221="","",IF(COUNTIF(Invoices!B$4:B$300,A221)=0,"NEVER BILLED",""))</f>
        <v/>
      </c>
    </row>
    <row r="222">
      <c r="F222" s="11">
        <f>IF(A222="","",IF(COUNTIF(Invoices!B$4:B$300,A222)=0,"NEVER BILLED",""))</f>
        <v/>
      </c>
    </row>
    <row r="223">
      <c r="F223" s="11">
        <f>IF(A223="","",IF(COUNTIF(Invoices!B$4:B$300,A223)=0,"NEVER BILLED",""))</f>
        <v/>
      </c>
    </row>
    <row r="224">
      <c r="F224" s="11">
        <f>IF(A224="","",IF(COUNTIF(Invoices!B$4:B$300,A224)=0,"NEVER BILLED",""))</f>
        <v/>
      </c>
    </row>
    <row r="225">
      <c r="F225" s="11">
        <f>IF(A225="","",IF(COUNTIF(Invoices!B$4:B$300,A225)=0,"NEVER BILLED",""))</f>
        <v/>
      </c>
    </row>
    <row r="226">
      <c r="F226" s="11">
        <f>IF(A226="","",IF(COUNTIF(Invoices!B$4:B$300,A226)=0,"NEVER BILLED",""))</f>
        <v/>
      </c>
    </row>
    <row r="227">
      <c r="F227" s="11">
        <f>IF(A227="","",IF(COUNTIF(Invoices!B$4:B$300,A227)=0,"NEVER BILLED",""))</f>
        <v/>
      </c>
    </row>
    <row r="228">
      <c r="F228" s="11">
        <f>IF(A228="","",IF(COUNTIF(Invoices!B$4:B$300,A228)=0,"NEVER BILLED",""))</f>
        <v/>
      </c>
    </row>
    <row r="229">
      <c r="F229" s="11">
        <f>IF(A229="","",IF(COUNTIF(Invoices!B$4:B$300,A229)=0,"NEVER BILLED",""))</f>
        <v/>
      </c>
    </row>
    <row r="230">
      <c r="F230" s="11">
        <f>IF(A230="","",IF(COUNTIF(Invoices!B$4:B$300,A230)=0,"NEVER BILLED",""))</f>
        <v/>
      </c>
    </row>
    <row r="231">
      <c r="F231" s="11">
        <f>IF(A231="","",IF(COUNTIF(Invoices!B$4:B$300,A231)=0,"NEVER BILLED",""))</f>
        <v/>
      </c>
    </row>
    <row r="232">
      <c r="F232" s="11">
        <f>IF(A232="","",IF(COUNTIF(Invoices!B$4:B$300,A232)=0,"NEVER BILLED",""))</f>
        <v/>
      </c>
    </row>
    <row r="233">
      <c r="F233" s="11">
        <f>IF(A233="","",IF(COUNTIF(Invoices!B$4:B$300,A233)=0,"NEVER BILLED",""))</f>
        <v/>
      </c>
    </row>
    <row r="234">
      <c r="F234" s="11">
        <f>IF(A234="","",IF(COUNTIF(Invoices!B$4:B$300,A234)=0,"NEVER BILLED",""))</f>
        <v/>
      </c>
    </row>
    <row r="235">
      <c r="F235" s="11">
        <f>IF(A235="","",IF(COUNTIF(Invoices!B$4:B$300,A235)=0,"NEVER BILLED",""))</f>
        <v/>
      </c>
    </row>
    <row r="236">
      <c r="F236" s="11">
        <f>IF(A236="","",IF(COUNTIF(Invoices!B$4:B$300,A236)=0,"NEVER BILLED",""))</f>
        <v/>
      </c>
    </row>
    <row r="237">
      <c r="F237" s="11">
        <f>IF(A237="","",IF(COUNTIF(Invoices!B$4:B$300,A237)=0,"NEVER BILLED",""))</f>
        <v/>
      </c>
    </row>
    <row r="238">
      <c r="F238" s="11">
        <f>IF(A238="","",IF(COUNTIF(Invoices!B$4:B$300,A238)=0,"NEVER BILLED",""))</f>
        <v/>
      </c>
    </row>
    <row r="239">
      <c r="F239" s="11">
        <f>IF(A239="","",IF(COUNTIF(Invoices!B$4:B$300,A239)=0,"NEVER BILLED",""))</f>
        <v/>
      </c>
    </row>
    <row r="240">
      <c r="F240" s="11">
        <f>IF(A240="","",IF(COUNTIF(Invoices!B$4:B$300,A240)=0,"NEVER BILLED",""))</f>
        <v/>
      </c>
    </row>
    <row r="241">
      <c r="F241" s="11">
        <f>IF(A241="","",IF(COUNTIF(Invoices!B$4:B$300,A241)=0,"NEVER BILLED",""))</f>
        <v/>
      </c>
    </row>
    <row r="242">
      <c r="F242" s="11">
        <f>IF(A242="","",IF(COUNTIF(Invoices!B$4:B$300,A242)=0,"NEVER BILLED",""))</f>
        <v/>
      </c>
    </row>
    <row r="243">
      <c r="F243" s="11">
        <f>IF(A243="","",IF(COUNTIF(Invoices!B$4:B$300,A243)=0,"NEVER BILLED",""))</f>
        <v/>
      </c>
    </row>
    <row r="244">
      <c r="F244" s="11">
        <f>IF(A244="","",IF(COUNTIF(Invoices!B$4:B$300,A244)=0,"NEVER BILLED",""))</f>
        <v/>
      </c>
    </row>
    <row r="245">
      <c r="F245" s="11">
        <f>IF(A245="","",IF(COUNTIF(Invoices!B$4:B$300,A245)=0,"NEVER BILLED",""))</f>
        <v/>
      </c>
    </row>
    <row r="246">
      <c r="F246" s="11">
        <f>IF(A246="","",IF(COUNTIF(Invoices!B$4:B$300,A246)=0,"NEVER BILLED",""))</f>
        <v/>
      </c>
    </row>
    <row r="247">
      <c r="F247" s="11">
        <f>IF(A247="","",IF(COUNTIF(Invoices!B$4:B$300,A247)=0,"NEVER BILLED",""))</f>
        <v/>
      </c>
    </row>
    <row r="248">
      <c r="F248" s="11">
        <f>IF(A248="","",IF(COUNTIF(Invoices!B$4:B$300,A248)=0,"NEVER BILLED",""))</f>
        <v/>
      </c>
    </row>
    <row r="249">
      <c r="F249" s="11">
        <f>IF(A249="","",IF(COUNTIF(Invoices!B$4:B$300,A249)=0,"NEVER BILLED",""))</f>
        <v/>
      </c>
    </row>
    <row r="250">
      <c r="F250" s="11">
        <f>IF(A250="","",IF(COUNTIF(Invoices!B$4:B$300,A250)=0,"NEVER BILLED",""))</f>
        <v/>
      </c>
    </row>
    <row r="251">
      <c r="F251" s="11">
        <f>IF(A251="","",IF(COUNTIF(Invoices!B$4:B$300,A251)=0,"NEVER BILLED",""))</f>
        <v/>
      </c>
    </row>
    <row r="252">
      <c r="F252" s="11">
        <f>IF(A252="","",IF(COUNTIF(Invoices!B$4:B$300,A252)=0,"NEVER BILLED",""))</f>
        <v/>
      </c>
    </row>
    <row r="253">
      <c r="F253" s="11">
        <f>IF(A253="","",IF(COUNTIF(Invoices!B$4:B$300,A253)=0,"NEVER BILLED",""))</f>
        <v/>
      </c>
    </row>
    <row r="254">
      <c r="F254" s="11">
        <f>IF(A254="","",IF(COUNTIF(Invoices!B$4:B$300,A254)=0,"NEVER BILLED",""))</f>
        <v/>
      </c>
    </row>
    <row r="255">
      <c r="F255" s="11">
        <f>IF(A255="","",IF(COUNTIF(Invoices!B$4:B$300,A255)=0,"NEVER BILLED",""))</f>
        <v/>
      </c>
    </row>
    <row r="256">
      <c r="F256" s="11">
        <f>IF(A256="","",IF(COUNTIF(Invoices!B$4:B$300,A256)=0,"NEVER BILLED",""))</f>
        <v/>
      </c>
    </row>
    <row r="257">
      <c r="F257" s="11">
        <f>IF(A257="","",IF(COUNTIF(Invoices!B$4:B$300,A257)=0,"NEVER BILLED",""))</f>
        <v/>
      </c>
    </row>
    <row r="258">
      <c r="F258" s="11">
        <f>IF(A258="","",IF(COUNTIF(Invoices!B$4:B$300,A258)=0,"NEVER BILLED",""))</f>
        <v/>
      </c>
    </row>
    <row r="259">
      <c r="F259" s="11">
        <f>IF(A259="","",IF(COUNTIF(Invoices!B$4:B$300,A259)=0,"NEVER BILLED",""))</f>
        <v/>
      </c>
    </row>
    <row r="260">
      <c r="F260" s="11">
        <f>IF(A260="","",IF(COUNTIF(Invoices!B$4:B$300,A260)=0,"NEVER BILLED",""))</f>
        <v/>
      </c>
    </row>
    <row r="261">
      <c r="F261" s="11">
        <f>IF(A261="","",IF(COUNTIF(Invoices!B$4:B$300,A261)=0,"NEVER BILLED",""))</f>
        <v/>
      </c>
    </row>
    <row r="262">
      <c r="F262" s="11">
        <f>IF(A262="","",IF(COUNTIF(Invoices!B$4:B$300,A262)=0,"NEVER BILLED",""))</f>
        <v/>
      </c>
    </row>
    <row r="263">
      <c r="F263" s="11">
        <f>IF(A263="","",IF(COUNTIF(Invoices!B$4:B$300,A263)=0,"NEVER BILLED",""))</f>
        <v/>
      </c>
    </row>
    <row r="264">
      <c r="F264" s="11">
        <f>IF(A264="","",IF(COUNTIF(Invoices!B$4:B$300,A264)=0,"NEVER BILLED",""))</f>
        <v/>
      </c>
    </row>
    <row r="265">
      <c r="F265" s="11">
        <f>IF(A265="","",IF(COUNTIF(Invoices!B$4:B$300,A265)=0,"NEVER BILLED",""))</f>
        <v/>
      </c>
    </row>
    <row r="266">
      <c r="F266" s="11">
        <f>IF(A266="","",IF(COUNTIF(Invoices!B$4:B$300,A266)=0,"NEVER BILLED",""))</f>
        <v/>
      </c>
    </row>
    <row r="267">
      <c r="F267" s="11">
        <f>IF(A267="","",IF(COUNTIF(Invoices!B$4:B$300,A267)=0,"NEVER BILLED",""))</f>
        <v/>
      </c>
    </row>
    <row r="268">
      <c r="F268" s="11">
        <f>IF(A268="","",IF(COUNTIF(Invoices!B$4:B$300,A268)=0,"NEVER BILLED",""))</f>
        <v/>
      </c>
    </row>
    <row r="269">
      <c r="F269" s="11">
        <f>IF(A269="","",IF(COUNTIF(Invoices!B$4:B$300,A269)=0,"NEVER BILLED",""))</f>
        <v/>
      </c>
    </row>
    <row r="270">
      <c r="F270" s="11">
        <f>IF(A270="","",IF(COUNTIF(Invoices!B$4:B$300,A270)=0,"NEVER BILLED",""))</f>
        <v/>
      </c>
    </row>
    <row r="271">
      <c r="F271" s="11">
        <f>IF(A271="","",IF(COUNTIF(Invoices!B$4:B$300,A271)=0,"NEVER BILLED",""))</f>
        <v/>
      </c>
    </row>
    <row r="272">
      <c r="F272" s="11">
        <f>IF(A272="","",IF(COUNTIF(Invoices!B$4:B$300,A272)=0,"NEVER BILLED",""))</f>
        <v/>
      </c>
    </row>
    <row r="273">
      <c r="F273" s="11">
        <f>IF(A273="","",IF(COUNTIF(Invoices!B$4:B$300,A273)=0,"NEVER BILLED",""))</f>
        <v/>
      </c>
    </row>
    <row r="274">
      <c r="F274" s="11">
        <f>IF(A274="","",IF(COUNTIF(Invoices!B$4:B$300,A274)=0,"NEVER BILLED",""))</f>
        <v/>
      </c>
    </row>
    <row r="275">
      <c r="F275" s="11">
        <f>IF(A275="","",IF(COUNTIF(Invoices!B$4:B$300,A275)=0,"NEVER BILLED",""))</f>
        <v/>
      </c>
    </row>
    <row r="276">
      <c r="F276" s="11">
        <f>IF(A276="","",IF(COUNTIF(Invoices!B$4:B$300,A276)=0,"NEVER BILLED",""))</f>
        <v/>
      </c>
    </row>
    <row r="277">
      <c r="F277" s="11">
        <f>IF(A277="","",IF(COUNTIF(Invoices!B$4:B$300,A277)=0,"NEVER BILLED",""))</f>
        <v/>
      </c>
    </row>
    <row r="278">
      <c r="F278" s="11">
        <f>IF(A278="","",IF(COUNTIF(Invoices!B$4:B$300,A278)=0,"NEVER BILLED",""))</f>
        <v/>
      </c>
    </row>
    <row r="279">
      <c r="F279" s="11">
        <f>IF(A279="","",IF(COUNTIF(Invoices!B$4:B$300,A279)=0,"NEVER BILLED",""))</f>
        <v/>
      </c>
    </row>
    <row r="280">
      <c r="F280" s="11">
        <f>IF(A280="","",IF(COUNTIF(Invoices!B$4:B$300,A280)=0,"NEVER BILLED",""))</f>
        <v/>
      </c>
    </row>
    <row r="281">
      <c r="F281" s="11">
        <f>IF(A281="","",IF(COUNTIF(Invoices!B$4:B$300,A281)=0,"NEVER BILLED",""))</f>
        <v/>
      </c>
    </row>
    <row r="282">
      <c r="F282" s="11">
        <f>IF(A282="","",IF(COUNTIF(Invoices!B$4:B$300,A282)=0,"NEVER BILLED",""))</f>
        <v/>
      </c>
    </row>
    <row r="283">
      <c r="F283" s="11">
        <f>IF(A283="","",IF(COUNTIF(Invoices!B$4:B$300,A283)=0,"NEVER BILLED",""))</f>
        <v/>
      </c>
    </row>
    <row r="284">
      <c r="F284" s="11">
        <f>IF(A284="","",IF(COUNTIF(Invoices!B$4:B$300,A284)=0,"NEVER BILLED",""))</f>
        <v/>
      </c>
    </row>
    <row r="285">
      <c r="F285" s="11">
        <f>IF(A285="","",IF(COUNTIF(Invoices!B$4:B$300,A285)=0,"NEVER BILLED",""))</f>
        <v/>
      </c>
    </row>
    <row r="286">
      <c r="F286" s="11">
        <f>IF(A286="","",IF(COUNTIF(Invoices!B$4:B$300,A286)=0,"NEVER BILLED",""))</f>
        <v/>
      </c>
    </row>
    <row r="287">
      <c r="F287" s="11">
        <f>IF(A287="","",IF(COUNTIF(Invoices!B$4:B$300,A287)=0,"NEVER BILLED",""))</f>
        <v/>
      </c>
    </row>
    <row r="288">
      <c r="F288" s="11">
        <f>IF(A288="","",IF(COUNTIF(Invoices!B$4:B$300,A288)=0,"NEVER BILLED",""))</f>
        <v/>
      </c>
    </row>
    <row r="289">
      <c r="F289" s="11">
        <f>IF(A289="","",IF(COUNTIF(Invoices!B$4:B$300,A289)=0,"NEVER BILLED",""))</f>
        <v/>
      </c>
    </row>
    <row r="290">
      <c r="F290" s="11">
        <f>IF(A290="","",IF(COUNTIF(Invoices!B$4:B$300,A290)=0,"NEVER BILLED",""))</f>
        <v/>
      </c>
    </row>
    <row r="291">
      <c r="F291" s="11">
        <f>IF(A291="","",IF(COUNTIF(Invoices!B$4:B$300,A291)=0,"NEVER BILLED",""))</f>
        <v/>
      </c>
    </row>
    <row r="292">
      <c r="F292" s="11">
        <f>IF(A292="","",IF(COUNTIF(Invoices!B$4:B$300,A292)=0,"NEVER BILLED",""))</f>
        <v/>
      </c>
    </row>
    <row r="293">
      <c r="F293" s="11">
        <f>IF(A293="","",IF(COUNTIF(Invoices!B$4:B$300,A293)=0,"NEVER BILLED",""))</f>
        <v/>
      </c>
    </row>
    <row r="294">
      <c r="F294" s="11">
        <f>IF(A294="","",IF(COUNTIF(Invoices!B$4:B$300,A294)=0,"NEVER BILLED",""))</f>
        <v/>
      </c>
    </row>
    <row r="295">
      <c r="F295" s="11">
        <f>IF(A295="","",IF(COUNTIF(Invoices!B$4:B$300,A295)=0,"NEVER BILLED",""))</f>
        <v/>
      </c>
    </row>
    <row r="296">
      <c r="F296" s="11">
        <f>IF(A296="","",IF(COUNTIF(Invoices!B$4:B$300,A296)=0,"NEVER BILLED",""))</f>
        <v/>
      </c>
    </row>
    <row r="297">
      <c r="F297" s="11">
        <f>IF(A297="","",IF(COUNTIF(Invoices!B$4:B$300,A297)=0,"NEVER BILLED",""))</f>
        <v/>
      </c>
    </row>
    <row r="298">
      <c r="F298" s="11">
        <f>IF(A298="","",IF(COUNTIF(Invoices!B$4:B$300,A298)=0,"NEVER BILLED",""))</f>
        <v/>
      </c>
    </row>
    <row r="299">
      <c r="F299" s="11">
        <f>IF(A299="","",IF(COUNTIF(Invoices!B$4:B$300,A299)=0,"NEVER BILLED",""))</f>
        <v/>
      </c>
    </row>
    <row r="300">
      <c r="F300" s="11">
        <f>IF(A300="","",IF(COUNTIF(Invoices!B$4:B$300,A300)=0,"NEVER BILLED",""))</f>
        <v/>
      </c>
    </row>
    <row r="302">
      <c r="D302" s="14" t="inlineStr">
        <is>
          <t>TOTAL COMPLETED $</t>
        </is>
      </c>
      <c r="E302" s="15">
        <f>SUM(E4:E300)</f>
        <v/>
      </c>
    </row>
    <row r="304">
      <c r="A304" s="5" t="inlineStr">
        <is>
          <t>Template by Automated Workflow · automatedworkflowllc.com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12" customWidth="1" min="4" max="4"/>
    <col width="13" customWidth="1" min="5" max="5"/>
    <col width="10" customWidth="1" min="6" max="6"/>
    <col width="10" customWidth="1" min="7" max="7"/>
    <col width="9" customWidth="1" min="8" max="8"/>
  </cols>
  <sheetData>
    <row r="1" ht="28" customHeight="1">
      <c r="A1" s="6" t="inlineStr">
        <is>
          <t>INVOICES · what got billed   (sample rows — replace with yours)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7" t="inlineStr">
        <is>
          <t>Status, Days out and Bucket are formulas — leave columns F, G, H alone. Aging counts from the As-of date on the Leak Report.</t>
        </is>
      </c>
    </row>
    <row r="3" ht="20" customHeight="1">
      <c r="A3" s="9" t="inlineStr">
        <is>
          <t>Invoice #</t>
        </is>
      </c>
      <c r="B3" s="9" t="inlineStr">
        <is>
          <t>Job ID</t>
        </is>
      </c>
      <c r="C3" s="9" t="inlineStr">
        <is>
          <t>Date sent</t>
        </is>
      </c>
      <c r="D3" s="9" t="inlineStr">
        <is>
          <t>Amount $</t>
        </is>
      </c>
      <c r="E3" s="9" t="inlineStr">
        <is>
          <t>Date paid</t>
        </is>
      </c>
      <c r="F3" s="9" t="inlineStr">
        <is>
          <t>Status</t>
        </is>
      </c>
      <c r="G3" s="9" t="inlineStr">
        <is>
          <t>Days out</t>
        </is>
      </c>
      <c r="H3" s="9" t="inlineStr">
        <is>
          <t>Bucket</t>
        </is>
      </c>
    </row>
    <row r="4">
      <c r="A4" s="16" t="inlineStr">
        <is>
          <t>INV-2201</t>
        </is>
      </c>
      <c r="B4" s="16" t="inlineStr">
        <is>
          <t>J-101</t>
        </is>
      </c>
      <c r="C4" s="17" t="n">
        <v>46197</v>
      </c>
      <c r="D4" s="18" t="n">
        <v>740</v>
      </c>
      <c r="E4" s="17" t="n">
        <v>46205</v>
      </c>
      <c r="F4" s="19">
        <f>IF(A4="","",IF(E4="","UNPAID","PAID"))</f>
        <v/>
      </c>
      <c r="G4" s="16">
        <f>IF(OR(A4="",F4="PAID"),"",'Leak Report'!$B$3-C4)</f>
        <v/>
      </c>
      <c r="H4" s="16">
        <f>IF(G4="","",IF(G4&lt;=30,"0-30",IF(G4&lt;=60,"31-60",IF(G4&lt;=90,"61-90","90+"))))</f>
        <v/>
      </c>
    </row>
    <row r="5">
      <c r="A5" s="16" t="inlineStr">
        <is>
          <t>INV-2202</t>
        </is>
      </c>
      <c r="B5" s="16" t="inlineStr">
        <is>
          <t>J-102</t>
        </is>
      </c>
      <c r="C5" s="17" t="n">
        <v>46200</v>
      </c>
      <c r="D5" s="18" t="n">
        <v>1280</v>
      </c>
      <c r="E5" s="17" t="n">
        <v>46221</v>
      </c>
      <c r="F5" s="19">
        <f>IF(A5="","",IF(E5="","UNPAID","PAID"))</f>
        <v/>
      </c>
      <c r="G5" s="16">
        <f>IF(OR(A5="",F5="PAID"),"",'Leak Report'!$B$3-C5)</f>
        <v/>
      </c>
      <c r="H5" s="16">
        <f>IF(G5="","",IF(G5&lt;=30,"0-30",IF(G5&lt;=60,"31-60",IF(G5&lt;=90,"61-90","90+"))))</f>
        <v/>
      </c>
    </row>
    <row r="6">
      <c r="A6" s="20" t="inlineStr">
        <is>
          <t>INV-2203</t>
        </is>
      </c>
      <c r="B6" s="20" t="inlineStr">
        <is>
          <t>J-103</t>
        </is>
      </c>
      <c r="C6" s="21" t="n">
        <v>46203</v>
      </c>
      <c r="D6" s="22" t="n">
        <v>965</v>
      </c>
      <c r="E6" s="20" t="n"/>
      <c r="F6" s="23">
        <f>IF(A6="","",IF(E6="","UNPAID","PAID"))</f>
        <v/>
      </c>
      <c r="G6" s="20">
        <f>IF(OR(A6="",F6="PAID"),"",'Leak Report'!$B$3-C6)</f>
        <v/>
      </c>
      <c r="H6" s="20">
        <f>IF(G6="","",IF(G6&lt;=30,"0-30",IF(G6&lt;=60,"31-60",IF(G6&lt;=90,"61-90","90+"))))</f>
        <v/>
      </c>
    </row>
    <row r="7">
      <c r="A7" s="16" t="inlineStr">
        <is>
          <t>INV-2204</t>
        </is>
      </c>
      <c r="B7" s="16" t="inlineStr">
        <is>
          <t>J-105</t>
        </is>
      </c>
      <c r="C7" s="17" t="n">
        <v>46207</v>
      </c>
      <c r="D7" s="18" t="n">
        <v>380</v>
      </c>
      <c r="E7" s="17" t="n">
        <v>46214</v>
      </c>
      <c r="F7" s="19">
        <f>IF(A7="","",IF(E7="","UNPAID","PAID"))</f>
        <v/>
      </c>
      <c r="G7" s="16">
        <f>IF(OR(A7="",F7="PAID"),"",'Leak Report'!$B$3-C7)</f>
        <v/>
      </c>
      <c r="H7" s="16">
        <f>IF(G7="","",IF(G7&lt;=30,"0-30",IF(G7&lt;=60,"31-60",IF(G7&lt;=90,"61-90","90+"))))</f>
        <v/>
      </c>
    </row>
    <row r="8">
      <c r="A8" s="20" t="inlineStr">
        <is>
          <t>INV-2205</t>
        </is>
      </c>
      <c r="B8" s="20" t="inlineStr">
        <is>
          <t>J-106</t>
        </is>
      </c>
      <c r="C8" s="21" t="n">
        <v>46211</v>
      </c>
      <c r="D8" s="22" t="n">
        <v>1620</v>
      </c>
      <c r="E8" s="20" t="n"/>
      <c r="F8" s="23">
        <f>IF(A8="","",IF(E8="","UNPAID","PAID"))</f>
        <v/>
      </c>
      <c r="G8" s="20">
        <f>IF(OR(A8="",F8="PAID"),"",'Leak Report'!$B$3-C8)</f>
        <v/>
      </c>
      <c r="H8" s="20">
        <f>IF(G8="","",IF(G8&lt;=30,"0-30",IF(G8&lt;=60,"31-60",IF(G8&lt;=90,"61-90","90+"))))</f>
        <v/>
      </c>
    </row>
    <row r="9">
      <c r="A9" s="16" t="inlineStr">
        <is>
          <t>INV-2206</t>
        </is>
      </c>
      <c r="B9" s="16" t="inlineStr">
        <is>
          <t>J-107</t>
        </is>
      </c>
      <c r="C9" s="17" t="n">
        <v>46213</v>
      </c>
      <c r="D9" s="18" t="n">
        <v>540</v>
      </c>
      <c r="E9" s="17" t="n">
        <v>46225</v>
      </c>
      <c r="F9" s="19">
        <f>IF(A9="","",IF(E9="","UNPAID","PAID"))</f>
        <v/>
      </c>
      <c r="G9" s="16">
        <f>IF(OR(A9="",F9="PAID"),"",'Leak Report'!$B$3-C9)</f>
        <v/>
      </c>
      <c r="H9" s="16">
        <f>IF(G9="","",IF(G9&lt;=30,"0-30",IF(G9&lt;=60,"31-60",IF(G9&lt;=90,"61-90","90+"))))</f>
        <v/>
      </c>
    </row>
    <row r="10">
      <c r="A10" s="20" t="inlineStr">
        <is>
          <t>INV-2207</t>
        </is>
      </c>
      <c r="B10" s="20" t="inlineStr">
        <is>
          <t>J-108</t>
        </is>
      </c>
      <c r="C10" s="21" t="n">
        <v>46214</v>
      </c>
      <c r="D10" s="22" t="n">
        <v>1150</v>
      </c>
      <c r="E10" s="20" t="n"/>
      <c r="F10" s="23">
        <f>IF(A10="","",IF(E10="","UNPAID","PAID"))</f>
        <v/>
      </c>
      <c r="G10" s="20">
        <f>IF(OR(A10="",F10="PAID"),"",'Leak Report'!$B$3-C10)</f>
        <v/>
      </c>
      <c r="H10" s="20">
        <f>IF(G10="","",IF(G10&lt;=30,"0-30",IF(G10&lt;=60,"31-60",IF(G10&lt;=90,"61-90","90+"))))</f>
        <v/>
      </c>
    </row>
    <row r="11">
      <c r="A11" s="16" t="inlineStr">
        <is>
          <t>INV-2208</t>
        </is>
      </c>
      <c r="B11" s="16" t="inlineStr">
        <is>
          <t>J-110</t>
        </is>
      </c>
      <c r="C11" s="17" t="n">
        <v>46218</v>
      </c>
      <c r="D11" s="18" t="n">
        <v>860</v>
      </c>
      <c r="E11" s="17" t="n">
        <v>46227</v>
      </c>
      <c r="F11" s="19">
        <f>IF(A11="","",IF(E11="","UNPAID","PAID"))</f>
        <v/>
      </c>
      <c r="G11" s="16">
        <f>IF(OR(A11="",F11="PAID"),"",'Leak Report'!$B$3-C11)</f>
        <v/>
      </c>
      <c r="H11" s="16">
        <f>IF(G11="","",IF(G11&lt;=30,"0-30",IF(G11&lt;=60,"31-60",IF(G11&lt;=90,"61-90","90+"))))</f>
        <v/>
      </c>
    </row>
    <row r="12">
      <c r="A12" s="20" t="inlineStr">
        <is>
          <t>INV-2209</t>
        </is>
      </c>
      <c r="B12" s="20" t="inlineStr">
        <is>
          <t>J-113</t>
        </is>
      </c>
      <c r="C12" s="21" t="n">
        <v>46225</v>
      </c>
      <c r="D12" s="22" t="n">
        <v>990</v>
      </c>
      <c r="E12" s="20" t="n"/>
      <c r="F12" s="23">
        <f>IF(A12="","",IF(E12="","UNPAID","PAID"))</f>
        <v/>
      </c>
      <c r="G12" s="20">
        <f>IF(OR(A12="",F12="PAID"),"",'Leak Report'!$B$3-C12)</f>
        <v/>
      </c>
      <c r="H12" s="20">
        <f>IF(G12="","",IF(G12&lt;=30,"0-30",IF(G12&lt;=60,"31-60",IF(G12&lt;=90,"61-90","90+"))))</f>
        <v/>
      </c>
    </row>
    <row r="13">
      <c r="A13" s="12" t="inlineStr">
        <is>
          <t>INV-2210</t>
        </is>
      </c>
      <c r="B13" s="12" t="inlineStr">
        <is>
          <t>J-104</t>
        </is>
      </c>
      <c r="C13" s="24" t="n">
        <v>46154</v>
      </c>
      <c r="D13" s="13" t="n">
        <v>410</v>
      </c>
      <c r="E13" s="12" t="n"/>
      <c r="F13" s="25">
        <f>IF(A13="","",IF(E13="","UNPAID","PAID"))</f>
        <v/>
      </c>
      <c r="G13" s="12">
        <f>IF(OR(A13="",F13="PAID"),"",'Leak Report'!$B$3-C13)</f>
        <v/>
      </c>
      <c r="H13" s="12">
        <f>IF(G13="","",IF(G13&lt;=30,"0-30",IF(G13&lt;=60,"31-60",IF(G13&lt;=90,"61-90","90+"))))</f>
        <v/>
      </c>
    </row>
    <row r="14">
      <c r="A14" s="12" t="inlineStr">
        <is>
          <t>INV-2211</t>
        </is>
      </c>
      <c r="B14" s="12" t="inlineStr">
        <is>
          <t>J-109</t>
        </is>
      </c>
      <c r="C14" s="24" t="n">
        <v>46132</v>
      </c>
      <c r="D14" s="13" t="n">
        <v>295</v>
      </c>
      <c r="E14" s="12" t="n"/>
      <c r="F14" s="25">
        <f>IF(A14="","",IF(E14="","UNPAID","PAID"))</f>
        <v/>
      </c>
      <c r="G14" s="12">
        <f>IF(OR(A14="",F14="PAID"),"",'Leak Report'!$B$3-C14)</f>
        <v/>
      </c>
      <c r="H14" s="12">
        <f>IF(G14="","",IF(G14&lt;=30,"0-30",IF(G14&lt;=60,"31-60",IF(G14&lt;=90,"61-90","90+"))))</f>
        <v/>
      </c>
    </row>
    <row r="15">
      <c r="F15" s="14">
        <f>IF(A15="","",IF(E15="","UNPAID","PAID"))</f>
        <v/>
      </c>
      <c r="G15">
        <f>IF(OR(A15="",F15="PAID"),"",'Leak Report'!$B$3-C15)</f>
        <v/>
      </c>
      <c r="H15">
        <f>IF(G15="","",IF(G15&lt;=30,"0-30",IF(G15&lt;=60,"31-60",IF(G15&lt;=90,"61-90","90+"))))</f>
        <v/>
      </c>
    </row>
    <row r="16">
      <c r="F16" s="14">
        <f>IF(A16="","",IF(E16="","UNPAID","PAID"))</f>
        <v/>
      </c>
      <c r="G16">
        <f>IF(OR(A16="",F16="PAID"),"",'Leak Report'!$B$3-C16)</f>
        <v/>
      </c>
      <c r="H16">
        <f>IF(G16="","",IF(G16&lt;=30,"0-30",IF(G16&lt;=60,"31-60",IF(G16&lt;=90,"61-90","90+"))))</f>
        <v/>
      </c>
    </row>
    <row r="17">
      <c r="F17" s="14">
        <f>IF(A17="","",IF(E17="","UNPAID","PAID"))</f>
        <v/>
      </c>
      <c r="G17">
        <f>IF(OR(A17="",F17="PAID"),"",'Leak Report'!$B$3-C17)</f>
        <v/>
      </c>
      <c r="H17">
        <f>IF(G17="","",IF(G17&lt;=30,"0-30",IF(G17&lt;=60,"31-60",IF(G17&lt;=90,"61-90","90+"))))</f>
        <v/>
      </c>
    </row>
    <row r="18">
      <c r="F18" s="14">
        <f>IF(A18="","",IF(E18="","UNPAID","PAID"))</f>
        <v/>
      </c>
      <c r="G18">
        <f>IF(OR(A18="",F18="PAID"),"",'Leak Report'!$B$3-C18)</f>
        <v/>
      </c>
      <c r="H18">
        <f>IF(G18="","",IF(G18&lt;=30,"0-30",IF(G18&lt;=60,"31-60",IF(G18&lt;=90,"61-90","90+"))))</f>
        <v/>
      </c>
    </row>
    <row r="19">
      <c r="F19" s="14">
        <f>IF(A19="","",IF(E19="","UNPAID","PAID"))</f>
        <v/>
      </c>
      <c r="G19">
        <f>IF(OR(A19="",F19="PAID"),"",'Leak Report'!$B$3-C19)</f>
        <v/>
      </c>
      <c r="H19">
        <f>IF(G19="","",IF(G19&lt;=30,"0-30",IF(G19&lt;=60,"31-60",IF(G19&lt;=90,"61-90","90+"))))</f>
        <v/>
      </c>
    </row>
    <row r="20">
      <c r="F20" s="14">
        <f>IF(A20="","",IF(E20="","UNPAID","PAID"))</f>
        <v/>
      </c>
      <c r="G20">
        <f>IF(OR(A20="",F20="PAID"),"",'Leak Report'!$B$3-C20)</f>
        <v/>
      </c>
      <c r="H20">
        <f>IF(G20="","",IF(G20&lt;=30,"0-30",IF(G20&lt;=60,"31-60",IF(G20&lt;=90,"61-90","90+"))))</f>
        <v/>
      </c>
    </row>
    <row r="21">
      <c r="F21" s="14">
        <f>IF(A21="","",IF(E21="","UNPAID","PAID"))</f>
        <v/>
      </c>
      <c r="G21">
        <f>IF(OR(A21="",F21="PAID"),"",'Leak Report'!$B$3-C21)</f>
        <v/>
      </c>
      <c r="H21">
        <f>IF(G21="","",IF(G21&lt;=30,"0-30",IF(G21&lt;=60,"31-60",IF(G21&lt;=90,"61-90","90+"))))</f>
        <v/>
      </c>
    </row>
    <row r="22">
      <c r="F22" s="14">
        <f>IF(A22="","",IF(E22="","UNPAID","PAID"))</f>
        <v/>
      </c>
      <c r="G22">
        <f>IF(OR(A22="",F22="PAID"),"",'Leak Report'!$B$3-C22)</f>
        <v/>
      </c>
      <c r="H22">
        <f>IF(G22="","",IF(G22&lt;=30,"0-30",IF(G22&lt;=60,"31-60",IF(G22&lt;=90,"61-90","90+"))))</f>
        <v/>
      </c>
    </row>
    <row r="23">
      <c r="F23" s="14">
        <f>IF(A23="","",IF(E23="","UNPAID","PAID"))</f>
        <v/>
      </c>
      <c r="G23">
        <f>IF(OR(A23="",F23="PAID"),"",'Leak Report'!$B$3-C23)</f>
        <v/>
      </c>
      <c r="H23">
        <f>IF(G23="","",IF(G23&lt;=30,"0-30",IF(G23&lt;=60,"31-60",IF(G23&lt;=90,"61-90","90+"))))</f>
        <v/>
      </c>
    </row>
    <row r="24">
      <c r="F24" s="14">
        <f>IF(A24="","",IF(E24="","UNPAID","PAID"))</f>
        <v/>
      </c>
      <c r="G24">
        <f>IF(OR(A24="",F24="PAID"),"",'Leak Report'!$B$3-C24)</f>
        <v/>
      </c>
      <c r="H24">
        <f>IF(G24="","",IF(G24&lt;=30,"0-30",IF(G24&lt;=60,"31-60",IF(G24&lt;=90,"61-90","90+"))))</f>
        <v/>
      </c>
    </row>
    <row r="25">
      <c r="F25" s="14">
        <f>IF(A25="","",IF(E25="","UNPAID","PAID"))</f>
        <v/>
      </c>
      <c r="G25">
        <f>IF(OR(A25="",F25="PAID"),"",'Leak Report'!$B$3-C25)</f>
        <v/>
      </c>
      <c r="H25">
        <f>IF(G25="","",IF(G25&lt;=30,"0-30",IF(G25&lt;=60,"31-60",IF(G25&lt;=90,"61-90","90+"))))</f>
        <v/>
      </c>
    </row>
    <row r="26">
      <c r="F26" s="14">
        <f>IF(A26="","",IF(E26="","UNPAID","PAID"))</f>
        <v/>
      </c>
      <c r="G26">
        <f>IF(OR(A26="",F26="PAID"),"",'Leak Report'!$B$3-C26)</f>
        <v/>
      </c>
      <c r="H26">
        <f>IF(G26="","",IF(G26&lt;=30,"0-30",IF(G26&lt;=60,"31-60",IF(G26&lt;=90,"61-90","90+"))))</f>
        <v/>
      </c>
    </row>
    <row r="27">
      <c r="F27" s="14">
        <f>IF(A27="","",IF(E27="","UNPAID","PAID"))</f>
        <v/>
      </c>
      <c r="G27">
        <f>IF(OR(A27="",F27="PAID"),"",'Leak Report'!$B$3-C27)</f>
        <v/>
      </c>
      <c r="H27">
        <f>IF(G27="","",IF(G27&lt;=30,"0-30",IF(G27&lt;=60,"31-60",IF(G27&lt;=90,"61-90","90+"))))</f>
        <v/>
      </c>
    </row>
    <row r="28">
      <c r="F28" s="14">
        <f>IF(A28="","",IF(E28="","UNPAID","PAID"))</f>
        <v/>
      </c>
      <c r="G28">
        <f>IF(OR(A28="",F28="PAID"),"",'Leak Report'!$B$3-C28)</f>
        <v/>
      </c>
      <c r="H28">
        <f>IF(G28="","",IF(G28&lt;=30,"0-30",IF(G28&lt;=60,"31-60",IF(G28&lt;=90,"61-90","90+"))))</f>
        <v/>
      </c>
    </row>
    <row r="29">
      <c r="F29" s="14">
        <f>IF(A29="","",IF(E29="","UNPAID","PAID"))</f>
        <v/>
      </c>
      <c r="G29">
        <f>IF(OR(A29="",F29="PAID"),"",'Leak Report'!$B$3-C29)</f>
        <v/>
      </c>
      <c r="H29">
        <f>IF(G29="","",IF(G29&lt;=30,"0-30",IF(G29&lt;=60,"31-60",IF(G29&lt;=90,"61-90","90+"))))</f>
        <v/>
      </c>
    </row>
    <row r="30">
      <c r="F30" s="14">
        <f>IF(A30="","",IF(E30="","UNPAID","PAID"))</f>
        <v/>
      </c>
      <c r="G30">
        <f>IF(OR(A30="",F30="PAID"),"",'Leak Report'!$B$3-C30)</f>
        <v/>
      </c>
      <c r="H30">
        <f>IF(G30="","",IF(G30&lt;=30,"0-30",IF(G30&lt;=60,"31-60",IF(G30&lt;=90,"61-90","90+"))))</f>
        <v/>
      </c>
    </row>
    <row r="31">
      <c r="F31" s="14">
        <f>IF(A31="","",IF(E31="","UNPAID","PAID"))</f>
        <v/>
      </c>
      <c r="G31">
        <f>IF(OR(A31="",F31="PAID"),"",'Leak Report'!$B$3-C31)</f>
        <v/>
      </c>
      <c r="H31">
        <f>IF(G31="","",IF(G31&lt;=30,"0-30",IF(G31&lt;=60,"31-60",IF(G31&lt;=90,"61-90","90+"))))</f>
        <v/>
      </c>
    </row>
    <row r="32">
      <c r="F32" s="14">
        <f>IF(A32="","",IF(E32="","UNPAID","PAID"))</f>
        <v/>
      </c>
      <c r="G32">
        <f>IF(OR(A32="",F32="PAID"),"",'Leak Report'!$B$3-C32)</f>
        <v/>
      </c>
      <c r="H32">
        <f>IF(G32="","",IF(G32&lt;=30,"0-30",IF(G32&lt;=60,"31-60",IF(G32&lt;=90,"61-90","90+"))))</f>
        <v/>
      </c>
    </row>
    <row r="33">
      <c r="F33" s="14">
        <f>IF(A33="","",IF(E33="","UNPAID","PAID"))</f>
        <v/>
      </c>
      <c r="G33">
        <f>IF(OR(A33="",F33="PAID"),"",'Leak Report'!$B$3-C33)</f>
        <v/>
      </c>
      <c r="H33">
        <f>IF(G33="","",IF(G33&lt;=30,"0-30",IF(G33&lt;=60,"31-60",IF(G33&lt;=90,"61-90","90+"))))</f>
        <v/>
      </c>
    </row>
    <row r="34">
      <c r="F34" s="14">
        <f>IF(A34="","",IF(E34="","UNPAID","PAID"))</f>
        <v/>
      </c>
      <c r="G34">
        <f>IF(OR(A34="",F34="PAID"),"",'Leak Report'!$B$3-C34)</f>
        <v/>
      </c>
      <c r="H34">
        <f>IF(G34="","",IF(G34&lt;=30,"0-30",IF(G34&lt;=60,"31-60",IF(G34&lt;=90,"61-90","90+"))))</f>
        <v/>
      </c>
    </row>
    <row r="35">
      <c r="F35" s="14">
        <f>IF(A35="","",IF(E35="","UNPAID","PAID"))</f>
        <v/>
      </c>
      <c r="G35">
        <f>IF(OR(A35="",F35="PAID"),"",'Leak Report'!$B$3-C35)</f>
        <v/>
      </c>
      <c r="H35">
        <f>IF(G35="","",IF(G35&lt;=30,"0-30",IF(G35&lt;=60,"31-60",IF(G35&lt;=90,"61-90","90+"))))</f>
        <v/>
      </c>
    </row>
    <row r="36">
      <c r="F36" s="14">
        <f>IF(A36="","",IF(E36="","UNPAID","PAID"))</f>
        <v/>
      </c>
      <c r="G36">
        <f>IF(OR(A36="",F36="PAID"),"",'Leak Report'!$B$3-C36)</f>
        <v/>
      </c>
      <c r="H36">
        <f>IF(G36="","",IF(G36&lt;=30,"0-30",IF(G36&lt;=60,"31-60",IF(G36&lt;=90,"61-90","90+"))))</f>
        <v/>
      </c>
    </row>
    <row r="37">
      <c r="F37" s="14">
        <f>IF(A37="","",IF(E37="","UNPAID","PAID"))</f>
        <v/>
      </c>
      <c r="G37">
        <f>IF(OR(A37="",F37="PAID"),"",'Leak Report'!$B$3-C37)</f>
        <v/>
      </c>
      <c r="H37">
        <f>IF(G37="","",IF(G37&lt;=30,"0-30",IF(G37&lt;=60,"31-60",IF(G37&lt;=90,"61-90","90+"))))</f>
        <v/>
      </c>
    </row>
    <row r="38">
      <c r="F38" s="14">
        <f>IF(A38="","",IF(E38="","UNPAID","PAID"))</f>
        <v/>
      </c>
      <c r="G38">
        <f>IF(OR(A38="",F38="PAID"),"",'Leak Report'!$B$3-C38)</f>
        <v/>
      </c>
      <c r="H38">
        <f>IF(G38="","",IF(G38&lt;=30,"0-30",IF(G38&lt;=60,"31-60",IF(G38&lt;=90,"61-90","90+"))))</f>
        <v/>
      </c>
    </row>
    <row r="39">
      <c r="F39" s="14">
        <f>IF(A39="","",IF(E39="","UNPAID","PAID"))</f>
        <v/>
      </c>
      <c r="G39">
        <f>IF(OR(A39="",F39="PAID"),"",'Leak Report'!$B$3-C39)</f>
        <v/>
      </c>
      <c r="H39">
        <f>IF(G39="","",IF(G39&lt;=30,"0-30",IF(G39&lt;=60,"31-60",IF(G39&lt;=90,"61-90","90+"))))</f>
        <v/>
      </c>
    </row>
    <row r="40">
      <c r="F40" s="14">
        <f>IF(A40="","",IF(E40="","UNPAID","PAID"))</f>
        <v/>
      </c>
      <c r="G40">
        <f>IF(OR(A40="",F40="PAID"),"",'Leak Report'!$B$3-C40)</f>
        <v/>
      </c>
      <c r="H40">
        <f>IF(G40="","",IF(G40&lt;=30,"0-30",IF(G40&lt;=60,"31-60",IF(G40&lt;=90,"61-90","90+"))))</f>
        <v/>
      </c>
    </row>
    <row r="41">
      <c r="F41" s="14">
        <f>IF(A41="","",IF(E41="","UNPAID","PAID"))</f>
        <v/>
      </c>
      <c r="G41">
        <f>IF(OR(A41="",F41="PAID"),"",'Leak Report'!$B$3-C41)</f>
        <v/>
      </c>
      <c r="H41">
        <f>IF(G41="","",IF(G41&lt;=30,"0-30",IF(G41&lt;=60,"31-60",IF(G41&lt;=90,"61-90","90+"))))</f>
        <v/>
      </c>
    </row>
    <row r="42">
      <c r="F42" s="14">
        <f>IF(A42="","",IF(E42="","UNPAID","PAID"))</f>
        <v/>
      </c>
      <c r="G42">
        <f>IF(OR(A42="",F42="PAID"),"",'Leak Report'!$B$3-C42)</f>
        <v/>
      </c>
      <c r="H42">
        <f>IF(G42="","",IF(G42&lt;=30,"0-30",IF(G42&lt;=60,"31-60",IF(G42&lt;=90,"61-90","90+"))))</f>
        <v/>
      </c>
    </row>
    <row r="43">
      <c r="F43" s="14">
        <f>IF(A43="","",IF(E43="","UNPAID","PAID"))</f>
        <v/>
      </c>
      <c r="G43">
        <f>IF(OR(A43="",F43="PAID"),"",'Leak Report'!$B$3-C43)</f>
        <v/>
      </c>
      <c r="H43">
        <f>IF(G43="","",IF(G43&lt;=30,"0-30",IF(G43&lt;=60,"31-60",IF(G43&lt;=90,"61-90","90+"))))</f>
        <v/>
      </c>
    </row>
    <row r="44">
      <c r="F44" s="14">
        <f>IF(A44="","",IF(E44="","UNPAID","PAID"))</f>
        <v/>
      </c>
      <c r="G44">
        <f>IF(OR(A44="",F44="PAID"),"",'Leak Report'!$B$3-C44)</f>
        <v/>
      </c>
      <c r="H44">
        <f>IF(G44="","",IF(G44&lt;=30,"0-30",IF(G44&lt;=60,"31-60",IF(G44&lt;=90,"61-90","90+"))))</f>
        <v/>
      </c>
    </row>
    <row r="45">
      <c r="F45" s="14">
        <f>IF(A45="","",IF(E45="","UNPAID","PAID"))</f>
        <v/>
      </c>
      <c r="G45">
        <f>IF(OR(A45="",F45="PAID"),"",'Leak Report'!$B$3-C45)</f>
        <v/>
      </c>
      <c r="H45">
        <f>IF(G45="","",IF(G45&lt;=30,"0-30",IF(G45&lt;=60,"31-60",IF(G45&lt;=90,"61-90","90+"))))</f>
        <v/>
      </c>
    </row>
    <row r="46">
      <c r="F46" s="14">
        <f>IF(A46="","",IF(E46="","UNPAID","PAID"))</f>
        <v/>
      </c>
      <c r="G46">
        <f>IF(OR(A46="",F46="PAID"),"",'Leak Report'!$B$3-C46)</f>
        <v/>
      </c>
      <c r="H46">
        <f>IF(G46="","",IF(G46&lt;=30,"0-30",IF(G46&lt;=60,"31-60",IF(G46&lt;=90,"61-90","90+"))))</f>
        <v/>
      </c>
    </row>
    <row r="47">
      <c r="F47" s="14">
        <f>IF(A47="","",IF(E47="","UNPAID","PAID"))</f>
        <v/>
      </c>
      <c r="G47">
        <f>IF(OR(A47="",F47="PAID"),"",'Leak Report'!$B$3-C47)</f>
        <v/>
      </c>
      <c r="H47">
        <f>IF(G47="","",IF(G47&lt;=30,"0-30",IF(G47&lt;=60,"31-60",IF(G47&lt;=90,"61-90","90+"))))</f>
        <v/>
      </c>
    </row>
    <row r="48">
      <c r="F48" s="14">
        <f>IF(A48="","",IF(E48="","UNPAID","PAID"))</f>
        <v/>
      </c>
      <c r="G48">
        <f>IF(OR(A48="",F48="PAID"),"",'Leak Report'!$B$3-C48)</f>
        <v/>
      </c>
      <c r="H48">
        <f>IF(G48="","",IF(G48&lt;=30,"0-30",IF(G48&lt;=60,"31-60",IF(G48&lt;=90,"61-90","90+"))))</f>
        <v/>
      </c>
    </row>
    <row r="49">
      <c r="F49" s="14">
        <f>IF(A49="","",IF(E49="","UNPAID","PAID"))</f>
        <v/>
      </c>
      <c r="G49">
        <f>IF(OR(A49="",F49="PAID"),"",'Leak Report'!$B$3-C49)</f>
        <v/>
      </c>
      <c r="H49">
        <f>IF(G49="","",IF(G49&lt;=30,"0-30",IF(G49&lt;=60,"31-60",IF(G49&lt;=90,"61-90","90+"))))</f>
        <v/>
      </c>
    </row>
    <row r="50">
      <c r="F50" s="14">
        <f>IF(A50="","",IF(E50="","UNPAID","PAID"))</f>
        <v/>
      </c>
      <c r="G50">
        <f>IF(OR(A50="",F50="PAID"),"",'Leak Report'!$B$3-C50)</f>
        <v/>
      </c>
      <c r="H50">
        <f>IF(G50="","",IF(G50&lt;=30,"0-30",IF(G50&lt;=60,"31-60",IF(G50&lt;=90,"61-90","90+"))))</f>
        <v/>
      </c>
    </row>
    <row r="51">
      <c r="F51" s="14">
        <f>IF(A51="","",IF(E51="","UNPAID","PAID"))</f>
        <v/>
      </c>
      <c r="G51">
        <f>IF(OR(A51="",F51="PAID"),"",'Leak Report'!$B$3-C51)</f>
        <v/>
      </c>
      <c r="H51">
        <f>IF(G51="","",IF(G51&lt;=30,"0-30",IF(G51&lt;=60,"31-60",IF(G51&lt;=90,"61-90","90+"))))</f>
        <v/>
      </c>
    </row>
    <row r="52">
      <c r="F52" s="14">
        <f>IF(A52="","",IF(E52="","UNPAID","PAID"))</f>
        <v/>
      </c>
      <c r="G52">
        <f>IF(OR(A52="",F52="PAID"),"",'Leak Report'!$B$3-C52)</f>
        <v/>
      </c>
      <c r="H52">
        <f>IF(G52="","",IF(G52&lt;=30,"0-30",IF(G52&lt;=60,"31-60",IF(G52&lt;=90,"61-90","90+"))))</f>
        <v/>
      </c>
    </row>
    <row r="53">
      <c r="F53" s="14">
        <f>IF(A53="","",IF(E53="","UNPAID","PAID"))</f>
        <v/>
      </c>
      <c r="G53">
        <f>IF(OR(A53="",F53="PAID"),"",'Leak Report'!$B$3-C53)</f>
        <v/>
      </c>
      <c r="H53">
        <f>IF(G53="","",IF(G53&lt;=30,"0-30",IF(G53&lt;=60,"31-60",IF(G53&lt;=90,"61-90","90+"))))</f>
        <v/>
      </c>
    </row>
    <row r="54">
      <c r="F54" s="14">
        <f>IF(A54="","",IF(E54="","UNPAID","PAID"))</f>
        <v/>
      </c>
      <c r="G54">
        <f>IF(OR(A54="",F54="PAID"),"",'Leak Report'!$B$3-C54)</f>
        <v/>
      </c>
      <c r="H54">
        <f>IF(G54="","",IF(G54&lt;=30,"0-30",IF(G54&lt;=60,"31-60",IF(G54&lt;=90,"61-90","90+"))))</f>
        <v/>
      </c>
    </row>
    <row r="55">
      <c r="F55" s="14">
        <f>IF(A55="","",IF(E55="","UNPAID","PAID"))</f>
        <v/>
      </c>
      <c r="G55">
        <f>IF(OR(A55="",F55="PAID"),"",'Leak Report'!$B$3-C55)</f>
        <v/>
      </c>
      <c r="H55">
        <f>IF(G55="","",IF(G55&lt;=30,"0-30",IF(G55&lt;=60,"31-60",IF(G55&lt;=90,"61-90","90+"))))</f>
        <v/>
      </c>
    </row>
    <row r="56">
      <c r="F56" s="14">
        <f>IF(A56="","",IF(E56="","UNPAID","PAID"))</f>
        <v/>
      </c>
      <c r="G56">
        <f>IF(OR(A56="",F56="PAID"),"",'Leak Report'!$B$3-C56)</f>
        <v/>
      </c>
      <c r="H56">
        <f>IF(G56="","",IF(G56&lt;=30,"0-30",IF(G56&lt;=60,"31-60",IF(G56&lt;=90,"61-90","90+"))))</f>
        <v/>
      </c>
    </row>
    <row r="57">
      <c r="F57" s="14">
        <f>IF(A57="","",IF(E57="","UNPAID","PAID"))</f>
        <v/>
      </c>
      <c r="G57">
        <f>IF(OR(A57="",F57="PAID"),"",'Leak Report'!$B$3-C57)</f>
        <v/>
      </c>
      <c r="H57">
        <f>IF(G57="","",IF(G57&lt;=30,"0-30",IF(G57&lt;=60,"31-60",IF(G57&lt;=90,"61-90","90+"))))</f>
        <v/>
      </c>
    </row>
    <row r="58">
      <c r="F58" s="14">
        <f>IF(A58="","",IF(E58="","UNPAID","PAID"))</f>
        <v/>
      </c>
      <c r="G58">
        <f>IF(OR(A58="",F58="PAID"),"",'Leak Report'!$B$3-C58)</f>
        <v/>
      </c>
      <c r="H58">
        <f>IF(G58="","",IF(G58&lt;=30,"0-30",IF(G58&lt;=60,"31-60",IF(G58&lt;=90,"61-90","90+"))))</f>
        <v/>
      </c>
    </row>
    <row r="59">
      <c r="F59" s="14">
        <f>IF(A59="","",IF(E59="","UNPAID","PAID"))</f>
        <v/>
      </c>
      <c r="G59">
        <f>IF(OR(A59="",F59="PAID"),"",'Leak Report'!$B$3-C59)</f>
        <v/>
      </c>
      <c r="H59">
        <f>IF(G59="","",IF(G59&lt;=30,"0-30",IF(G59&lt;=60,"31-60",IF(G59&lt;=90,"61-90","90+"))))</f>
        <v/>
      </c>
    </row>
    <row r="60">
      <c r="F60" s="14">
        <f>IF(A60="","",IF(E60="","UNPAID","PAID"))</f>
        <v/>
      </c>
      <c r="G60">
        <f>IF(OR(A60="",F60="PAID"),"",'Leak Report'!$B$3-C60)</f>
        <v/>
      </c>
      <c r="H60">
        <f>IF(G60="","",IF(G60&lt;=30,"0-30",IF(G60&lt;=60,"31-60",IF(G60&lt;=90,"61-90","90+"))))</f>
        <v/>
      </c>
    </row>
    <row r="61">
      <c r="F61" s="14">
        <f>IF(A61="","",IF(E61="","UNPAID","PAID"))</f>
        <v/>
      </c>
      <c r="G61">
        <f>IF(OR(A61="",F61="PAID"),"",'Leak Report'!$B$3-C61)</f>
        <v/>
      </c>
      <c r="H61">
        <f>IF(G61="","",IF(G61&lt;=30,"0-30",IF(G61&lt;=60,"31-60",IF(G61&lt;=90,"61-90","90+"))))</f>
        <v/>
      </c>
    </row>
    <row r="62">
      <c r="F62" s="14">
        <f>IF(A62="","",IF(E62="","UNPAID","PAID"))</f>
        <v/>
      </c>
      <c r="G62">
        <f>IF(OR(A62="",F62="PAID"),"",'Leak Report'!$B$3-C62)</f>
        <v/>
      </c>
      <c r="H62">
        <f>IF(G62="","",IF(G62&lt;=30,"0-30",IF(G62&lt;=60,"31-60",IF(G62&lt;=90,"61-90","90+"))))</f>
        <v/>
      </c>
    </row>
    <row r="63">
      <c r="F63" s="14">
        <f>IF(A63="","",IF(E63="","UNPAID","PAID"))</f>
        <v/>
      </c>
      <c r="G63">
        <f>IF(OR(A63="",F63="PAID"),"",'Leak Report'!$B$3-C63)</f>
        <v/>
      </c>
      <c r="H63">
        <f>IF(G63="","",IF(G63&lt;=30,"0-30",IF(G63&lt;=60,"31-60",IF(G63&lt;=90,"61-90","90+"))))</f>
        <v/>
      </c>
    </row>
    <row r="64">
      <c r="F64" s="14">
        <f>IF(A64="","",IF(E64="","UNPAID","PAID"))</f>
        <v/>
      </c>
      <c r="G64">
        <f>IF(OR(A64="",F64="PAID"),"",'Leak Report'!$B$3-C64)</f>
        <v/>
      </c>
      <c r="H64">
        <f>IF(G64="","",IF(G64&lt;=30,"0-30",IF(G64&lt;=60,"31-60",IF(G64&lt;=90,"61-90","90+"))))</f>
        <v/>
      </c>
    </row>
    <row r="65">
      <c r="F65" s="14">
        <f>IF(A65="","",IF(E65="","UNPAID","PAID"))</f>
        <v/>
      </c>
      <c r="G65">
        <f>IF(OR(A65="",F65="PAID"),"",'Leak Report'!$B$3-C65)</f>
        <v/>
      </c>
      <c r="H65">
        <f>IF(G65="","",IF(G65&lt;=30,"0-30",IF(G65&lt;=60,"31-60",IF(G65&lt;=90,"61-90","90+"))))</f>
        <v/>
      </c>
    </row>
    <row r="66">
      <c r="F66" s="14">
        <f>IF(A66="","",IF(E66="","UNPAID","PAID"))</f>
        <v/>
      </c>
      <c r="G66">
        <f>IF(OR(A66="",F66="PAID"),"",'Leak Report'!$B$3-C66)</f>
        <v/>
      </c>
      <c r="H66">
        <f>IF(G66="","",IF(G66&lt;=30,"0-30",IF(G66&lt;=60,"31-60",IF(G66&lt;=90,"61-90","90+"))))</f>
        <v/>
      </c>
    </row>
    <row r="67">
      <c r="F67" s="14">
        <f>IF(A67="","",IF(E67="","UNPAID","PAID"))</f>
        <v/>
      </c>
      <c r="G67">
        <f>IF(OR(A67="",F67="PAID"),"",'Leak Report'!$B$3-C67)</f>
        <v/>
      </c>
      <c r="H67">
        <f>IF(G67="","",IF(G67&lt;=30,"0-30",IF(G67&lt;=60,"31-60",IF(G67&lt;=90,"61-90","90+"))))</f>
        <v/>
      </c>
    </row>
    <row r="68">
      <c r="F68" s="14">
        <f>IF(A68="","",IF(E68="","UNPAID","PAID"))</f>
        <v/>
      </c>
      <c r="G68">
        <f>IF(OR(A68="",F68="PAID"),"",'Leak Report'!$B$3-C68)</f>
        <v/>
      </c>
      <c r="H68">
        <f>IF(G68="","",IF(G68&lt;=30,"0-30",IF(G68&lt;=60,"31-60",IF(G68&lt;=90,"61-90","90+"))))</f>
        <v/>
      </c>
    </row>
    <row r="69">
      <c r="F69" s="14">
        <f>IF(A69="","",IF(E69="","UNPAID","PAID"))</f>
        <v/>
      </c>
      <c r="G69">
        <f>IF(OR(A69="",F69="PAID"),"",'Leak Report'!$B$3-C69)</f>
        <v/>
      </c>
      <c r="H69">
        <f>IF(G69="","",IF(G69&lt;=30,"0-30",IF(G69&lt;=60,"31-60",IF(G69&lt;=90,"61-90","90+"))))</f>
        <v/>
      </c>
    </row>
    <row r="70">
      <c r="F70" s="14">
        <f>IF(A70="","",IF(E70="","UNPAID","PAID"))</f>
        <v/>
      </c>
      <c r="G70">
        <f>IF(OR(A70="",F70="PAID"),"",'Leak Report'!$B$3-C70)</f>
        <v/>
      </c>
      <c r="H70">
        <f>IF(G70="","",IF(G70&lt;=30,"0-30",IF(G70&lt;=60,"31-60",IF(G70&lt;=90,"61-90","90+"))))</f>
        <v/>
      </c>
    </row>
    <row r="71">
      <c r="F71" s="14">
        <f>IF(A71="","",IF(E71="","UNPAID","PAID"))</f>
        <v/>
      </c>
      <c r="G71">
        <f>IF(OR(A71="",F71="PAID"),"",'Leak Report'!$B$3-C71)</f>
        <v/>
      </c>
      <c r="H71">
        <f>IF(G71="","",IF(G71&lt;=30,"0-30",IF(G71&lt;=60,"31-60",IF(G71&lt;=90,"61-90","90+"))))</f>
        <v/>
      </c>
    </row>
    <row r="72">
      <c r="F72" s="14">
        <f>IF(A72="","",IF(E72="","UNPAID","PAID"))</f>
        <v/>
      </c>
      <c r="G72">
        <f>IF(OR(A72="",F72="PAID"),"",'Leak Report'!$B$3-C72)</f>
        <v/>
      </c>
      <c r="H72">
        <f>IF(G72="","",IF(G72&lt;=30,"0-30",IF(G72&lt;=60,"31-60",IF(G72&lt;=90,"61-90","90+"))))</f>
        <v/>
      </c>
    </row>
    <row r="73">
      <c r="F73" s="14">
        <f>IF(A73="","",IF(E73="","UNPAID","PAID"))</f>
        <v/>
      </c>
      <c r="G73">
        <f>IF(OR(A73="",F73="PAID"),"",'Leak Report'!$B$3-C73)</f>
        <v/>
      </c>
      <c r="H73">
        <f>IF(G73="","",IF(G73&lt;=30,"0-30",IF(G73&lt;=60,"31-60",IF(G73&lt;=90,"61-90","90+"))))</f>
        <v/>
      </c>
    </row>
    <row r="74">
      <c r="F74" s="14">
        <f>IF(A74="","",IF(E74="","UNPAID","PAID"))</f>
        <v/>
      </c>
      <c r="G74">
        <f>IF(OR(A74="",F74="PAID"),"",'Leak Report'!$B$3-C74)</f>
        <v/>
      </c>
      <c r="H74">
        <f>IF(G74="","",IF(G74&lt;=30,"0-30",IF(G74&lt;=60,"31-60",IF(G74&lt;=90,"61-90","90+"))))</f>
        <v/>
      </c>
    </row>
    <row r="75">
      <c r="F75" s="14">
        <f>IF(A75="","",IF(E75="","UNPAID","PAID"))</f>
        <v/>
      </c>
      <c r="G75">
        <f>IF(OR(A75="",F75="PAID"),"",'Leak Report'!$B$3-C75)</f>
        <v/>
      </c>
      <c r="H75">
        <f>IF(G75="","",IF(G75&lt;=30,"0-30",IF(G75&lt;=60,"31-60",IF(G75&lt;=90,"61-90","90+"))))</f>
        <v/>
      </c>
    </row>
    <row r="76">
      <c r="F76" s="14">
        <f>IF(A76="","",IF(E76="","UNPAID","PAID"))</f>
        <v/>
      </c>
      <c r="G76">
        <f>IF(OR(A76="",F76="PAID"),"",'Leak Report'!$B$3-C76)</f>
        <v/>
      </c>
      <c r="H76">
        <f>IF(G76="","",IF(G76&lt;=30,"0-30",IF(G76&lt;=60,"31-60",IF(G76&lt;=90,"61-90","90+"))))</f>
        <v/>
      </c>
    </row>
    <row r="77">
      <c r="F77" s="14">
        <f>IF(A77="","",IF(E77="","UNPAID","PAID"))</f>
        <v/>
      </c>
      <c r="G77">
        <f>IF(OR(A77="",F77="PAID"),"",'Leak Report'!$B$3-C77)</f>
        <v/>
      </c>
      <c r="H77">
        <f>IF(G77="","",IF(G77&lt;=30,"0-30",IF(G77&lt;=60,"31-60",IF(G77&lt;=90,"61-90","90+"))))</f>
        <v/>
      </c>
    </row>
    <row r="78">
      <c r="F78" s="14">
        <f>IF(A78="","",IF(E78="","UNPAID","PAID"))</f>
        <v/>
      </c>
      <c r="G78">
        <f>IF(OR(A78="",F78="PAID"),"",'Leak Report'!$B$3-C78)</f>
        <v/>
      </c>
      <c r="H78">
        <f>IF(G78="","",IF(G78&lt;=30,"0-30",IF(G78&lt;=60,"31-60",IF(G78&lt;=90,"61-90","90+"))))</f>
        <v/>
      </c>
    </row>
    <row r="79">
      <c r="F79" s="14">
        <f>IF(A79="","",IF(E79="","UNPAID","PAID"))</f>
        <v/>
      </c>
      <c r="G79">
        <f>IF(OR(A79="",F79="PAID"),"",'Leak Report'!$B$3-C79)</f>
        <v/>
      </c>
      <c r="H79">
        <f>IF(G79="","",IF(G79&lt;=30,"0-30",IF(G79&lt;=60,"31-60",IF(G79&lt;=90,"61-90","90+"))))</f>
        <v/>
      </c>
    </row>
    <row r="80">
      <c r="F80" s="14">
        <f>IF(A80="","",IF(E80="","UNPAID","PAID"))</f>
        <v/>
      </c>
      <c r="G80">
        <f>IF(OR(A80="",F80="PAID"),"",'Leak Report'!$B$3-C80)</f>
        <v/>
      </c>
      <c r="H80">
        <f>IF(G80="","",IF(G80&lt;=30,"0-30",IF(G80&lt;=60,"31-60",IF(G80&lt;=90,"61-90","90+"))))</f>
        <v/>
      </c>
    </row>
    <row r="81">
      <c r="F81" s="14">
        <f>IF(A81="","",IF(E81="","UNPAID","PAID"))</f>
        <v/>
      </c>
      <c r="G81">
        <f>IF(OR(A81="",F81="PAID"),"",'Leak Report'!$B$3-C81)</f>
        <v/>
      </c>
      <c r="H81">
        <f>IF(G81="","",IF(G81&lt;=30,"0-30",IF(G81&lt;=60,"31-60",IF(G81&lt;=90,"61-90","90+"))))</f>
        <v/>
      </c>
    </row>
    <row r="82">
      <c r="F82" s="14">
        <f>IF(A82="","",IF(E82="","UNPAID","PAID"))</f>
        <v/>
      </c>
      <c r="G82">
        <f>IF(OR(A82="",F82="PAID"),"",'Leak Report'!$B$3-C82)</f>
        <v/>
      </c>
      <c r="H82">
        <f>IF(G82="","",IF(G82&lt;=30,"0-30",IF(G82&lt;=60,"31-60",IF(G82&lt;=90,"61-90","90+"))))</f>
        <v/>
      </c>
    </row>
    <row r="83">
      <c r="F83" s="14">
        <f>IF(A83="","",IF(E83="","UNPAID","PAID"))</f>
        <v/>
      </c>
      <c r="G83">
        <f>IF(OR(A83="",F83="PAID"),"",'Leak Report'!$B$3-C83)</f>
        <v/>
      </c>
      <c r="H83">
        <f>IF(G83="","",IF(G83&lt;=30,"0-30",IF(G83&lt;=60,"31-60",IF(G83&lt;=90,"61-90","90+"))))</f>
        <v/>
      </c>
    </row>
    <row r="84">
      <c r="F84" s="14">
        <f>IF(A84="","",IF(E84="","UNPAID","PAID"))</f>
        <v/>
      </c>
      <c r="G84">
        <f>IF(OR(A84="",F84="PAID"),"",'Leak Report'!$B$3-C84)</f>
        <v/>
      </c>
      <c r="H84">
        <f>IF(G84="","",IF(G84&lt;=30,"0-30",IF(G84&lt;=60,"31-60",IF(G84&lt;=90,"61-90","90+"))))</f>
        <v/>
      </c>
    </row>
    <row r="85">
      <c r="F85" s="14">
        <f>IF(A85="","",IF(E85="","UNPAID","PAID"))</f>
        <v/>
      </c>
      <c r="G85">
        <f>IF(OR(A85="",F85="PAID"),"",'Leak Report'!$B$3-C85)</f>
        <v/>
      </c>
      <c r="H85">
        <f>IF(G85="","",IF(G85&lt;=30,"0-30",IF(G85&lt;=60,"31-60",IF(G85&lt;=90,"61-90","90+"))))</f>
        <v/>
      </c>
    </row>
    <row r="86">
      <c r="F86" s="14">
        <f>IF(A86="","",IF(E86="","UNPAID","PAID"))</f>
        <v/>
      </c>
      <c r="G86">
        <f>IF(OR(A86="",F86="PAID"),"",'Leak Report'!$B$3-C86)</f>
        <v/>
      </c>
      <c r="H86">
        <f>IF(G86="","",IF(G86&lt;=30,"0-30",IF(G86&lt;=60,"31-60",IF(G86&lt;=90,"61-90","90+"))))</f>
        <v/>
      </c>
    </row>
    <row r="87">
      <c r="F87" s="14">
        <f>IF(A87="","",IF(E87="","UNPAID","PAID"))</f>
        <v/>
      </c>
      <c r="G87">
        <f>IF(OR(A87="",F87="PAID"),"",'Leak Report'!$B$3-C87)</f>
        <v/>
      </c>
      <c r="H87">
        <f>IF(G87="","",IF(G87&lt;=30,"0-30",IF(G87&lt;=60,"31-60",IF(G87&lt;=90,"61-90","90+"))))</f>
        <v/>
      </c>
    </row>
    <row r="88">
      <c r="F88" s="14">
        <f>IF(A88="","",IF(E88="","UNPAID","PAID"))</f>
        <v/>
      </c>
      <c r="G88">
        <f>IF(OR(A88="",F88="PAID"),"",'Leak Report'!$B$3-C88)</f>
        <v/>
      </c>
      <c r="H88">
        <f>IF(G88="","",IF(G88&lt;=30,"0-30",IF(G88&lt;=60,"31-60",IF(G88&lt;=90,"61-90","90+"))))</f>
        <v/>
      </c>
    </row>
    <row r="89">
      <c r="F89" s="14">
        <f>IF(A89="","",IF(E89="","UNPAID","PAID"))</f>
        <v/>
      </c>
      <c r="G89">
        <f>IF(OR(A89="",F89="PAID"),"",'Leak Report'!$B$3-C89)</f>
        <v/>
      </c>
      <c r="H89">
        <f>IF(G89="","",IF(G89&lt;=30,"0-30",IF(G89&lt;=60,"31-60",IF(G89&lt;=90,"61-90","90+"))))</f>
        <v/>
      </c>
    </row>
    <row r="90">
      <c r="F90" s="14">
        <f>IF(A90="","",IF(E90="","UNPAID","PAID"))</f>
        <v/>
      </c>
      <c r="G90">
        <f>IF(OR(A90="",F90="PAID"),"",'Leak Report'!$B$3-C90)</f>
        <v/>
      </c>
      <c r="H90">
        <f>IF(G90="","",IF(G90&lt;=30,"0-30",IF(G90&lt;=60,"31-60",IF(G90&lt;=90,"61-90","90+"))))</f>
        <v/>
      </c>
    </row>
    <row r="91">
      <c r="F91" s="14">
        <f>IF(A91="","",IF(E91="","UNPAID","PAID"))</f>
        <v/>
      </c>
      <c r="G91">
        <f>IF(OR(A91="",F91="PAID"),"",'Leak Report'!$B$3-C91)</f>
        <v/>
      </c>
      <c r="H91">
        <f>IF(G91="","",IF(G91&lt;=30,"0-30",IF(G91&lt;=60,"31-60",IF(G91&lt;=90,"61-90","90+"))))</f>
        <v/>
      </c>
    </row>
    <row r="92">
      <c r="F92" s="14">
        <f>IF(A92="","",IF(E92="","UNPAID","PAID"))</f>
        <v/>
      </c>
      <c r="G92">
        <f>IF(OR(A92="",F92="PAID"),"",'Leak Report'!$B$3-C92)</f>
        <v/>
      </c>
      <c r="H92">
        <f>IF(G92="","",IF(G92&lt;=30,"0-30",IF(G92&lt;=60,"31-60",IF(G92&lt;=90,"61-90","90+"))))</f>
        <v/>
      </c>
    </row>
    <row r="93">
      <c r="F93" s="14">
        <f>IF(A93="","",IF(E93="","UNPAID","PAID"))</f>
        <v/>
      </c>
      <c r="G93">
        <f>IF(OR(A93="",F93="PAID"),"",'Leak Report'!$B$3-C93)</f>
        <v/>
      </c>
      <c r="H93">
        <f>IF(G93="","",IF(G93&lt;=30,"0-30",IF(G93&lt;=60,"31-60",IF(G93&lt;=90,"61-90","90+"))))</f>
        <v/>
      </c>
    </row>
    <row r="94">
      <c r="F94" s="14">
        <f>IF(A94="","",IF(E94="","UNPAID","PAID"))</f>
        <v/>
      </c>
      <c r="G94">
        <f>IF(OR(A94="",F94="PAID"),"",'Leak Report'!$B$3-C94)</f>
        <v/>
      </c>
      <c r="H94">
        <f>IF(G94="","",IF(G94&lt;=30,"0-30",IF(G94&lt;=60,"31-60",IF(G94&lt;=90,"61-90","90+"))))</f>
        <v/>
      </c>
    </row>
    <row r="95">
      <c r="F95" s="14">
        <f>IF(A95="","",IF(E95="","UNPAID","PAID"))</f>
        <v/>
      </c>
      <c r="G95">
        <f>IF(OR(A95="",F95="PAID"),"",'Leak Report'!$B$3-C95)</f>
        <v/>
      </c>
      <c r="H95">
        <f>IF(G95="","",IF(G95&lt;=30,"0-30",IF(G95&lt;=60,"31-60",IF(G95&lt;=90,"61-90","90+"))))</f>
        <v/>
      </c>
    </row>
    <row r="96">
      <c r="F96" s="14">
        <f>IF(A96="","",IF(E96="","UNPAID","PAID"))</f>
        <v/>
      </c>
      <c r="G96">
        <f>IF(OR(A96="",F96="PAID"),"",'Leak Report'!$B$3-C96)</f>
        <v/>
      </c>
      <c r="H96">
        <f>IF(G96="","",IF(G96&lt;=30,"0-30",IF(G96&lt;=60,"31-60",IF(G96&lt;=90,"61-90","90+"))))</f>
        <v/>
      </c>
    </row>
    <row r="97">
      <c r="F97" s="14">
        <f>IF(A97="","",IF(E97="","UNPAID","PAID"))</f>
        <v/>
      </c>
      <c r="G97">
        <f>IF(OR(A97="",F97="PAID"),"",'Leak Report'!$B$3-C97)</f>
        <v/>
      </c>
      <c r="H97">
        <f>IF(G97="","",IF(G97&lt;=30,"0-30",IF(G97&lt;=60,"31-60",IF(G97&lt;=90,"61-90","90+"))))</f>
        <v/>
      </c>
    </row>
    <row r="98">
      <c r="F98" s="14">
        <f>IF(A98="","",IF(E98="","UNPAID","PAID"))</f>
        <v/>
      </c>
      <c r="G98">
        <f>IF(OR(A98="",F98="PAID"),"",'Leak Report'!$B$3-C98)</f>
        <v/>
      </c>
      <c r="H98">
        <f>IF(G98="","",IF(G98&lt;=30,"0-30",IF(G98&lt;=60,"31-60",IF(G98&lt;=90,"61-90","90+"))))</f>
        <v/>
      </c>
    </row>
    <row r="99">
      <c r="F99" s="14">
        <f>IF(A99="","",IF(E99="","UNPAID","PAID"))</f>
        <v/>
      </c>
      <c r="G99">
        <f>IF(OR(A99="",F99="PAID"),"",'Leak Report'!$B$3-C99)</f>
        <v/>
      </c>
      <c r="H99">
        <f>IF(G99="","",IF(G99&lt;=30,"0-30",IF(G99&lt;=60,"31-60",IF(G99&lt;=90,"61-90","90+"))))</f>
        <v/>
      </c>
    </row>
    <row r="100">
      <c r="F100" s="14">
        <f>IF(A100="","",IF(E100="","UNPAID","PAID"))</f>
        <v/>
      </c>
      <c r="G100">
        <f>IF(OR(A100="",F100="PAID"),"",'Leak Report'!$B$3-C100)</f>
        <v/>
      </c>
      <c r="H100">
        <f>IF(G100="","",IF(G100&lt;=30,"0-30",IF(G100&lt;=60,"31-60",IF(G100&lt;=90,"61-90","90+"))))</f>
        <v/>
      </c>
    </row>
    <row r="101">
      <c r="F101" s="14">
        <f>IF(A101="","",IF(E101="","UNPAID","PAID"))</f>
        <v/>
      </c>
      <c r="G101">
        <f>IF(OR(A101="",F101="PAID"),"",'Leak Report'!$B$3-C101)</f>
        <v/>
      </c>
      <c r="H101">
        <f>IF(G101="","",IF(G101&lt;=30,"0-30",IF(G101&lt;=60,"31-60",IF(G101&lt;=90,"61-90","90+"))))</f>
        <v/>
      </c>
    </row>
    <row r="102">
      <c r="F102" s="14">
        <f>IF(A102="","",IF(E102="","UNPAID","PAID"))</f>
        <v/>
      </c>
      <c r="G102">
        <f>IF(OR(A102="",F102="PAID"),"",'Leak Report'!$B$3-C102)</f>
        <v/>
      </c>
      <c r="H102">
        <f>IF(G102="","",IF(G102&lt;=30,"0-30",IF(G102&lt;=60,"31-60",IF(G102&lt;=90,"61-90","90+"))))</f>
        <v/>
      </c>
    </row>
    <row r="103">
      <c r="F103" s="14">
        <f>IF(A103="","",IF(E103="","UNPAID","PAID"))</f>
        <v/>
      </c>
      <c r="G103">
        <f>IF(OR(A103="",F103="PAID"),"",'Leak Report'!$B$3-C103)</f>
        <v/>
      </c>
      <c r="H103">
        <f>IF(G103="","",IF(G103&lt;=30,"0-30",IF(G103&lt;=60,"31-60",IF(G103&lt;=90,"61-90","90+"))))</f>
        <v/>
      </c>
    </row>
    <row r="104">
      <c r="F104" s="14">
        <f>IF(A104="","",IF(E104="","UNPAID","PAID"))</f>
        <v/>
      </c>
      <c r="G104">
        <f>IF(OR(A104="",F104="PAID"),"",'Leak Report'!$B$3-C104)</f>
        <v/>
      </c>
      <c r="H104">
        <f>IF(G104="","",IF(G104&lt;=30,"0-30",IF(G104&lt;=60,"31-60",IF(G104&lt;=90,"61-90","90+"))))</f>
        <v/>
      </c>
    </row>
    <row r="105">
      <c r="F105" s="14">
        <f>IF(A105="","",IF(E105="","UNPAID","PAID"))</f>
        <v/>
      </c>
      <c r="G105">
        <f>IF(OR(A105="",F105="PAID"),"",'Leak Report'!$B$3-C105)</f>
        <v/>
      </c>
      <c r="H105">
        <f>IF(G105="","",IF(G105&lt;=30,"0-30",IF(G105&lt;=60,"31-60",IF(G105&lt;=90,"61-90","90+"))))</f>
        <v/>
      </c>
    </row>
    <row r="106">
      <c r="F106" s="14">
        <f>IF(A106="","",IF(E106="","UNPAID","PAID"))</f>
        <v/>
      </c>
      <c r="G106">
        <f>IF(OR(A106="",F106="PAID"),"",'Leak Report'!$B$3-C106)</f>
        <v/>
      </c>
      <c r="H106">
        <f>IF(G106="","",IF(G106&lt;=30,"0-30",IF(G106&lt;=60,"31-60",IF(G106&lt;=90,"61-90","90+"))))</f>
        <v/>
      </c>
    </row>
    <row r="107">
      <c r="F107" s="14">
        <f>IF(A107="","",IF(E107="","UNPAID","PAID"))</f>
        <v/>
      </c>
      <c r="G107">
        <f>IF(OR(A107="",F107="PAID"),"",'Leak Report'!$B$3-C107)</f>
        <v/>
      </c>
      <c r="H107">
        <f>IF(G107="","",IF(G107&lt;=30,"0-30",IF(G107&lt;=60,"31-60",IF(G107&lt;=90,"61-90","90+"))))</f>
        <v/>
      </c>
    </row>
    <row r="108">
      <c r="F108" s="14">
        <f>IF(A108="","",IF(E108="","UNPAID","PAID"))</f>
        <v/>
      </c>
      <c r="G108">
        <f>IF(OR(A108="",F108="PAID"),"",'Leak Report'!$B$3-C108)</f>
        <v/>
      </c>
      <c r="H108">
        <f>IF(G108="","",IF(G108&lt;=30,"0-30",IF(G108&lt;=60,"31-60",IF(G108&lt;=90,"61-90","90+"))))</f>
        <v/>
      </c>
    </row>
    <row r="109">
      <c r="F109" s="14">
        <f>IF(A109="","",IF(E109="","UNPAID","PAID"))</f>
        <v/>
      </c>
      <c r="G109">
        <f>IF(OR(A109="",F109="PAID"),"",'Leak Report'!$B$3-C109)</f>
        <v/>
      </c>
      <c r="H109">
        <f>IF(G109="","",IF(G109&lt;=30,"0-30",IF(G109&lt;=60,"31-60",IF(G109&lt;=90,"61-90","90+"))))</f>
        <v/>
      </c>
    </row>
    <row r="110">
      <c r="F110" s="14">
        <f>IF(A110="","",IF(E110="","UNPAID","PAID"))</f>
        <v/>
      </c>
      <c r="G110">
        <f>IF(OR(A110="",F110="PAID"),"",'Leak Report'!$B$3-C110)</f>
        <v/>
      </c>
      <c r="H110">
        <f>IF(G110="","",IF(G110&lt;=30,"0-30",IF(G110&lt;=60,"31-60",IF(G110&lt;=90,"61-90","90+"))))</f>
        <v/>
      </c>
    </row>
    <row r="111">
      <c r="F111" s="14">
        <f>IF(A111="","",IF(E111="","UNPAID","PAID"))</f>
        <v/>
      </c>
      <c r="G111">
        <f>IF(OR(A111="",F111="PAID"),"",'Leak Report'!$B$3-C111)</f>
        <v/>
      </c>
      <c r="H111">
        <f>IF(G111="","",IF(G111&lt;=30,"0-30",IF(G111&lt;=60,"31-60",IF(G111&lt;=90,"61-90","90+"))))</f>
        <v/>
      </c>
    </row>
    <row r="112">
      <c r="F112" s="14">
        <f>IF(A112="","",IF(E112="","UNPAID","PAID"))</f>
        <v/>
      </c>
      <c r="G112">
        <f>IF(OR(A112="",F112="PAID"),"",'Leak Report'!$B$3-C112)</f>
        <v/>
      </c>
      <c r="H112">
        <f>IF(G112="","",IF(G112&lt;=30,"0-30",IF(G112&lt;=60,"31-60",IF(G112&lt;=90,"61-90","90+"))))</f>
        <v/>
      </c>
    </row>
    <row r="113">
      <c r="F113" s="14">
        <f>IF(A113="","",IF(E113="","UNPAID","PAID"))</f>
        <v/>
      </c>
      <c r="G113">
        <f>IF(OR(A113="",F113="PAID"),"",'Leak Report'!$B$3-C113)</f>
        <v/>
      </c>
      <c r="H113">
        <f>IF(G113="","",IF(G113&lt;=30,"0-30",IF(G113&lt;=60,"31-60",IF(G113&lt;=90,"61-90","90+"))))</f>
        <v/>
      </c>
    </row>
    <row r="114">
      <c r="F114" s="14">
        <f>IF(A114="","",IF(E114="","UNPAID","PAID"))</f>
        <v/>
      </c>
      <c r="G114">
        <f>IF(OR(A114="",F114="PAID"),"",'Leak Report'!$B$3-C114)</f>
        <v/>
      </c>
      <c r="H114">
        <f>IF(G114="","",IF(G114&lt;=30,"0-30",IF(G114&lt;=60,"31-60",IF(G114&lt;=90,"61-90","90+"))))</f>
        <v/>
      </c>
    </row>
    <row r="115">
      <c r="F115" s="14">
        <f>IF(A115="","",IF(E115="","UNPAID","PAID"))</f>
        <v/>
      </c>
      <c r="G115">
        <f>IF(OR(A115="",F115="PAID"),"",'Leak Report'!$B$3-C115)</f>
        <v/>
      </c>
      <c r="H115">
        <f>IF(G115="","",IF(G115&lt;=30,"0-30",IF(G115&lt;=60,"31-60",IF(G115&lt;=90,"61-90","90+"))))</f>
        <v/>
      </c>
    </row>
    <row r="116">
      <c r="F116" s="14">
        <f>IF(A116="","",IF(E116="","UNPAID","PAID"))</f>
        <v/>
      </c>
      <c r="G116">
        <f>IF(OR(A116="",F116="PAID"),"",'Leak Report'!$B$3-C116)</f>
        <v/>
      </c>
      <c r="H116">
        <f>IF(G116="","",IF(G116&lt;=30,"0-30",IF(G116&lt;=60,"31-60",IF(G116&lt;=90,"61-90","90+"))))</f>
        <v/>
      </c>
    </row>
    <row r="117">
      <c r="F117" s="14">
        <f>IF(A117="","",IF(E117="","UNPAID","PAID"))</f>
        <v/>
      </c>
      <c r="G117">
        <f>IF(OR(A117="",F117="PAID"),"",'Leak Report'!$B$3-C117)</f>
        <v/>
      </c>
      <c r="H117">
        <f>IF(G117="","",IF(G117&lt;=30,"0-30",IF(G117&lt;=60,"31-60",IF(G117&lt;=90,"61-90","90+"))))</f>
        <v/>
      </c>
    </row>
    <row r="118">
      <c r="F118" s="14">
        <f>IF(A118="","",IF(E118="","UNPAID","PAID"))</f>
        <v/>
      </c>
      <c r="G118">
        <f>IF(OR(A118="",F118="PAID"),"",'Leak Report'!$B$3-C118)</f>
        <v/>
      </c>
      <c r="H118">
        <f>IF(G118="","",IF(G118&lt;=30,"0-30",IF(G118&lt;=60,"31-60",IF(G118&lt;=90,"61-90","90+"))))</f>
        <v/>
      </c>
    </row>
    <row r="119">
      <c r="F119" s="14">
        <f>IF(A119="","",IF(E119="","UNPAID","PAID"))</f>
        <v/>
      </c>
      <c r="G119">
        <f>IF(OR(A119="",F119="PAID"),"",'Leak Report'!$B$3-C119)</f>
        <v/>
      </c>
      <c r="H119">
        <f>IF(G119="","",IF(G119&lt;=30,"0-30",IF(G119&lt;=60,"31-60",IF(G119&lt;=90,"61-90","90+"))))</f>
        <v/>
      </c>
    </row>
    <row r="120">
      <c r="F120" s="14">
        <f>IF(A120="","",IF(E120="","UNPAID","PAID"))</f>
        <v/>
      </c>
      <c r="G120">
        <f>IF(OR(A120="",F120="PAID"),"",'Leak Report'!$B$3-C120)</f>
        <v/>
      </c>
      <c r="H120">
        <f>IF(G120="","",IF(G120&lt;=30,"0-30",IF(G120&lt;=60,"31-60",IF(G120&lt;=90,"61-90","90+"))))</f>
        <v/>
      </c>
    </row>
    <row r="121">
      <c r="F121" s="14">
        <f>IF(A121="","",IF(E121="","UNPAID","PAID"))</f>
        <v/>
      </c>
      <c r="G121">
        <f>IF(OR(A121="",F121="PAID"),"",'Leak Report'!$B$3-C121)</f>
        <v/>
      </c>
      <c r="H121">
        <f>IF(G121="","",IF(G121&lt;=30,"0-30",IF(G121&lt;=60,"31-60",IF(G121&lt;=90,"61-90","90+"))))</f>
        <v/>
      </c>
    </row>
    <row r="122">
      <c r="F122" s="14">
        <f>IF(A122="","",IF(E122="","UNPAID","PAID"))</f>
        <v/>
      </c>
      <c r="G122">
        <f>IF(OR(A122="",F122="PAID"),"",'Leak Report'!$B$3-C122)</f>
        <v/>
      </c>
      <c r="H122">
        <f>IF(G122="","",IF(G122&lt;=30,"0-30",IF(G122&lt;=60,"31-60",IF(G122&lt;=90,"61-90","90+"))))</f>
        <v/>
      </c>
    </row>
    <row r="123">
      <c r="F123" s="14">
        <f>IF(A123="","",IF(E123="","UNPAID","PAID"))</f>
        <v/>
      </c>
      <c r="G123">
        <f>IF(OR(A123="",F123="PAID"),"",'Leak Report'!$B$3-C123)</f>
        <v/>
      </c>
      <c r="H123">
        <f>IF(G123="","",IF(G123&lt;=30,"0-30",IF(G123&lt;=60,"31-60",IF(G123&lt;=90,"61-90","90+"))))</f>
        <v/>
      </c>
    </row>
    <row r="124">
      <c r="F124" s="14">
        <f>IF(A124="","",IF(E124="","UNPAID","PAID"))</f>
        <v/>
      </c>
      <c r="G124">
        <f>IF(OR(A124="",F124="PAID"),"",'Leak Report'!$B$3-C124)</f>
        <v/>
      </c>
      <c r="H124">
        <f>IF(G124="","",IF(G124&lt;=30,"0-30",IF(G124&lt;=60,"31-60",IF(G124&lt;=90,"61-90","90+"))))</f>
        <v/>
      </c>
    </row>
    <row r="125">
      <c r="F125" s="14">
        <f>IF(A125="","",IF(E125="","UNPAID","PAID"))</f>
        <v/>
      </c>
      <c r="G125">
        <f>IF(OR(A125="",F125="PAID"),"",'Leak Report'!$B$3-C125)</f>
        <v/>
      </c>
      <c r="H125">
        <f>IF(G125="","",IF(G125&lt;=30,"0-30",IF(G125&lt;=60,"31-60",IF(G125&lt;=90,"61-90","90+"))))</f>
        <v/>
      </c>
    </row>
    <row r="126">
      <c r="F126" s="14">
        <f>IF(A126="","",IF(E126="","UNPAID","PAID"))</f>
        <v/>
      </c>
      <c r="G126">
        <f>IF(OR(A126="",F126="PAID"),"",'Leak Report'!$B$3-C126)</f>
        <v/>
      </c>
      <c r="H126">
        <f>IF(G126="","",IF(G126&lt;=30,"0-30",IF(G126&lt;=60,"31-60",IF(G126&lt;=90,"61-90","90+"))))</f>
        <v/>
      </c>
    </row>
    <row r="127">
      <c r="F127" s="14">
        <f>IF(A127="","",IF(E127="","UNPAID","PAID"))</f>
        <v/>
      </c>
      <c r="G127">
        <f>IF(OR(A127="",F127="PAID"),"",'Leak Report'!$B$3-C127)</f>
        <v/>
      </c>
      <c r="H127">
        <f>IF(G127="","",IF(G127&lt;=30,"0-30",IF(G127&lt;=60,"31-60",IF(G127&lt;=90,"61-90","90+"))))</f>
        <v/>
      </c>
    </row>
    <row r="128">
      <c r="F128" s="14">
        <f>IF(A128="","",IF(E128="","UNPAID","PAID"))</f>
        <v/>
      </c>
      <c r="G128">
        <f>IF(OR(A128="",F128="PAID"),"",'Leak Report'!$B$3-C128)</f>
        <v/>
      </c>
      <c r="H128">
        <f>IF(G128="","",IF(G128&lt;=30,"0-30",IF(G128&lt;=60,"31-60",IF(G128&lt;=90,"61-90","90+"))))</f>
        <v/>
      </c>
    </row>
    <row r="129">
      <c r="F129" s="14">
        <f>IF(A129="","",IF(E129="","UNPAID","PAID"))</f>
        <v/>
      </c>
      <c r="G129">
        <f>IF(OR(A129="",F129="PAID"),"",'Leak Report'!$B$3-C129)</f>
        <v/>
      </c>
      <c r="H129">
        <f>IF(G129="","",IF(G129&lt;=30,"0-30",IF(G129&lt;=60,"31-60",IF(G129&lt;=90,"61-90","90+"))))</f>
        <v/>
      </c>
    </row>
    <row r="130">
      <c r="F130" s="14">
        <f>IF(A130="","",IF(E130="","UNPAID","PAID"))</f>
        <v/>
      </c>
      <c r="G130">
        <f>IF(OR(A130="",F130="PAID"),"",'Leak Report'!$B$3-C130)</f>
        <v/>
      </c>
      <c r="H130">
        <f>IF(G130="","",IF(G130&lt;=30,"0-30",IF(G130&lt;=60,"31-60",IF(G130&lt;=90,"61-90","90+"))))</f>
        <v/>
      </c>
    </row>
    <row r="131">
      <c r="F131" s="14">
        <f>IF(A131="","",IF(E131="","UNPAID","PAID"))</f>
        <v/>
      </c>
      <c r="G131">
        <f>IF(OR(A131="",F131="PAID"),"",'Leak Report'!$B$3-C131)</f>
        <v/>
      </c>
      <c r="H131">
        <f>IF(G131="","",IF(G131&lt;=30,"0-30",IF(G131&lt;=60,"31-60",IF(G131&lt;=90,"61-90","90+"))))</f>
        <v/>
      </c>
    </row>
    <row r="132">
      <c r="F132" s="14">
        <f>IF(A132="","",IF(E132="","UNPAID","PAID"))</f>
        <v/>
      </c>
      <c r="G132">
        <f>IF(OR(A132="",F132="PAID"),"",'Leak Report'!$B$3-C132)</f>
        <v/>
      </c>
      <c r="H132">
        <f>IF(G132="","",IF(G132&lt;=30,"0-30",IF(G132&lt;=60,"31-60",IF(G132&lt;=90,"61-90","90+"))))</f>
        <v/>
      </c>
    </row>
    <row r="133">
      <c r="F133" s="14">
        <f>IF(A133="","",IF(E133="","UNPAID","PAID"))</f>
        <v/>
      </c>
      <c r="G133">
        <f>IF(OR(A133="",F133="PAID"),"",'Leak Report'!$B$3-C133)</f>
        <v/>
      </c>
      <c r="H133">
        <f>IF(G133="","",IF(G133&lt;=30,"0-30",IF(G133&lt;=60,"31-60",IF(G133&lt;=90,"61-90","90+"))))</f>
        <v/>
      </c>
    </row>
    <row r="134">
      <c r="F134" s="14">
        <f>IF(A134="","",IF(E134="","UNPAID","PAID"))</f>
        <v/>
      </c>
      <c r="G134">
        <f>IF(OR(A134="",F134="PAID"),"",'Leak Report'!$B$3-C134)</f>
        <v/>
      </c>
      <c r="H134">
        <f>IF(G134="","",IF(G134&lt;=30,"0-30",IF(G134&lt;=60,"31-60",IF(G134&lt;=90,"61-90","90+"))))</f>
        <v/>
      </c>
    </row>
    <row r="135">
      <c r="F135" s="14">
        <f>IF(A135="","",IF(E135="","UNPAID","PAID"))</f>
        <v/>
      </c>
      <c r="G135">
        <f>IF(OR(A135="",F135="PAID"),"",'Leak Report'!$B$3-C135)</f>
        <v/>
      </c>
      <c r="H135">
        <f>IF(G135="","",IF(G135&lt;=30,"0-30",IF(G135&lt;=60,"31-60",IF(G135&lt;=90,"61-90","90+"))))</f>
        <v/>
      </c>
    </row>
    <row r="136">
      <c r="F136" s="14">
        <f>IF(A136="","",IF(E136="","UNPAID","PAID"))</f>
        <v/>
      </c>
      <c r="G136">
        <f>IF(OR(A136="",F136="PAID"),"",'Leak Report'!$B$3-C136)</f>
        <v/>
      </c>
      <c r="H136">
        <f>IF(G136="","",IF(G136&lt;=30,"0-30",IF(G136&lt;=60,"31-60",IF(G136&lt;=90,"61-90","90+"))))</f>
        <v/>
      </c>
    </row>
    <row r="137">
      <c r="F137" s="14">
        <f>IF(A137="","",IF(E137="","UNPAID","PAID"))</f>
        <v/>
      </c>
      <c r="G137">
        <f>IF(OR(A137="",F137="PAID"),"",'Leak Report'!$B$3-C137)</f>
        <v/>
      </c>
      <c r="H137">
        <f>IF(G137="","",IF(G137&lt;=30,"0-30",IF(G137&lt;=60,"31-60",IF(G137&lt;=90,"61-90","90+"))))</f>
        <v/>
      </c>
    </row>
    <row r="138">
      <c r="F138" s="14">
        <f>IF(A138="","",IF(E138="","UNPAID","PAID"))</f>
        <v/>
      </c>
      <c r="G138">
        <f>IF(OR(A138="",F138="PAID"),"",'Leak Report'!$B$3-C138)</f>
        <v/>
      </c>
      <c r="H138">
        <f>IF(G138="","",IF(G138&lt;=30,"0-30",IF(G138&lt;=60,"31-60",IF(G138&lt;=90,"61-90","90+"))))</f>
        <v/>
      </c>
    </row>
    <row r="139">
      <c r="F139" s="14">
        <f>IF(A139="","",IF(E139="","UNPAID","PAID"))</f>
        <v/>
      </c>
      <c r="G139">
        <f>IF(OR(A139="",F139="PAID"),"",'Leak Report'!$B$3-C139)</f>
        <v/>
      </c>
      <c r="H139">
        <f>IF(G139="","",IF(G139&lt;=30,"0-30",IF(G139&lt;=60,"31-60",IF(G139&lt;=90,"61-90","90+"))))</f>
        <v/>
      </c>
    </row>
    <row r="140">
      <c r="F140" s="14">
        <f>IF(A140="","",IF(E140="","UNPAID","PAID"))</f>
        <v/>
      </c>
      <c r="G140">
        <f>IF(OR(A140="",F140="PAID"),"",'Leak Report'!$B$3-C140)</f>
        <v/>
      </c>
      <c r="H140">
        <f>IF(G140="","",IF(G140&lt;=30,"0-30",IF(G140&lt;=60,"31-60",IF(G140&lt;=90,"61-90","90+"))))</f>
        <v/>
      </c>
    </row>
    <row r="141">
      <c r="F141" s="14">
        <f>IF(A141="","",IF(E141="","UNPAID","PAID"))</f>
        <v/>
      </c>
      <c r="G141">
        <f>IF(OR(A141="",F141="PAID"),"",'Leak Report'!$B$3-C141)</f>
        <v/>
      </c>
      <c r="H141">
        <f>IF(G141="","",IF(G141&lt;=30,"0-30",IF(G141&lt;=60,"31-60",IF(G141&lt;=90,"61-90","90+"))))</f>
        <v/>
      </c>
    </row>
    <row r="142">
      <c r="F142" s="14">
        <f>IF(A142="","",IF(E142="","UNPAID","PAID"))</f>
        <v/>
      </c>
      <c r="G142">
        <f>IF(OR(A142="",F142="PAID"),"",'Leak Report'!$B$3-C142)</f>
        <v/>
      </c>
      <c r="H142">
        <f>IF(G142="","",IF(G142&lt;=30,"0-30",IF(G142&lt;=60,"31-60",IF(G142&lt;=90,"61-90","90+"))))</f>
        <v/>
      </c>
    </row>
    <row r="143">
      <c r="F143" s="14">
        <f>IF(A143="","",IF(E143="","UNPAID","PAID"))</f>
        <v/>
      </c>
      <c r="G143">
        <f>IF(OR(A143="",F143="PAID"),"",'Leak Report'!$B$3-C143)</f>
        <v/>
      </c>
      <c r="H143">
        <f>IF(G143="","",IF(G143&lt;=30,"0-30",IF(G143&lt;=60,"31-60",IF(G143&lt;=90,"61-90","90+"))))</f>
        <v/>
      </c>
    </row>
    <row r="144">
      <c r="F144" s="14">
        <f>IF(A144="","",IF(E144="","UNPAID","PAID"))</f>
        <v/>
      </c>
      <c r="G144">
        <f>IF(OR(A144="",F144="PAID"),"",'Leak Report'!$B$3-C144)</f>
        <v/>
      </c>
      <c r="H144">
        <f>IF(G144="","",IF(G144&lt;=30,"0-30",IF(G144&lt;=60,"31-60",IF(G144&lt;=90,"61-90","90+"))))</f>
        <v/>
      </c>
    </row>
    <row r="145">
      <c r="F145" s="14">
        <f>IF(A145="","",IF(E145="","UNPAID","PAID"))</f>
        <v/>
      </c>
      <c r="G145">
        <f>IF(OR(A145="",F145="PAID"),"",'Leak Report'!$B$3-C145)</f>
        <v/>
      </c>
      <c r="H145">
        <f>IF(G145="","",IF(G145&lt;=30,"0-30",IF(G145&lt;=60,"31-60",IF(G145&lt;=90,"61-90","90+"))))</f>
        <v/>
      </c>
    </row>
    <row r="146">
      <c r="F146" s="14">
        <f>IF(A146="","",IF(E146="","UNPAID","PAID"))</f>
        <v/>
      </c>
      <c r="G146">
        <f>IF(OR(A146="",F146="PAID"),"",'Leak Report'!$B$3-C146)</f>
        <v/>
      </c>
      <c r="H146">
        <f>IF(G146="","",IF(G146&lt;=30,"0-30",IF(G146&lt;=60,"31-60",IF(G146&lt;=90,"61-90","90+"))))</f>
        <v/>
      </c>
    </row>
    <row r="147">
      <c r="F147" s="14">
        <f>IF(A147="","",IF(E147="","UNPAID","PAID"))</f>
        <v/>
      </c>
      <c r="G147">
        <f>IF(OR(A147="",F147="PAID"),"",'Leak Report'!$B$3-C147)</f>
        <v/>
      </c>
      <c r="H147">
        <f>IF(G147="","",IF(G147&lt;=30,"0-30",IF(G147&lt;=60,"31-60",IF(G147&lt;=90,"61-90","90+"))))</f>
        <v/>
      </c>
    </row>
    <row r="148">
      <c r="F148" s="14">
        <f>IF(A148="","",IF(E148="","UNPAID","PAID"))</f>
        <v/>
      </c>
      <c r="G148">
        <f>IF(OR(A148="",F148="PAID"),"",'Leak Report'!$B$3-C148)</f>
        <v/>
      </c>
      <c r="H148">
        <f>IF(G148="","",IF(G148&lt;=30,"0-30",IF(G148&lt;=60,"31-60",IF(G148&lt;=90,"61-90","90+"))))</f>
        <v/>
      </c>
    </row>
    <row r="149">
      <c r="F149" s="14">
        <f>IF(A149="","",IF(E149="","UNPAID","PAID"))</f>
        <v/>
      </c>
      <c r="G149">
        <f>IF(OR(A149="",F149="PAID"),"",'Leak Report'!$B$3-C149)</f>
        <v/>
      </c>
      <c r="H149">
        <f>IF(G149="","",IF(G149&lt;=30,"0-30",IF(G149&lt;=60,"31-60",IF(G149&lt;=90,"61-90","90+"))))</f>
        <v/>
      </c>
    </row>
    <row r="150">
      <c r="F150" s="14">
        <f>IF(A150="","",IF(E150="","UNPAID","PAID"))</f>
        <v/>
      </c>
      <c r="G150">
        <f>IF(OR(A150="",F150="PAID"),"",'Leak Report'!$B$3-C150)</f>
        <v/>
      </c>
      <c r="H150">
        <f>IF(G150="","",IF(G150&lt;=30,"0-30",IF(G150&lt;=60,"31-60",IF(G150&lt;=90,"61-90","90+"))))</f>
        <v/>
      </c>
    </row>
    <row r="151">
      <c r="F151" s="14">
        <f>IF(A151="","",IF(E151="","UNPAID","PAID"))</f>
        <v/>
      </c>
      <c r="G151">
        <f>IF(OR(A151="",F151="PAID"),"",'Leak Report'!$B$3-C151)</f>
        <v/>
      </c>
      <c r="H151">
        <f>IF(G151="","",IF(G151&lt;=30,"0-30",IF(G151&lt;=60,"31-60",IF(G151&lt;=90,"61-90","90+"))))</f>
        <v/>
      </c>
    </row>
    <row r="152">
      <c r="F152" s="14">
        <f>IF(A152="","",IF(E152="","UNPAID","PAID"))</f>
        <v/>
      </c>
      <c r="G152">
        <f>IF(OR(A152="",F152="PAID"),"",'Leak Report'!$B$3-C152)</f>
        <v/>
      </c>
      <c r="H152">
        <f>IF(G152="","",IF(G152&lt;=30,"0-30",IF(G152&lt;=60,"31-60",IF(G152&lt;=90,"61-90","90+"))))</f>
        <v/>
      </c>
    </row>
    <row r="153">
      <c r="F153" s="14">
        <f>IF(A153="","",IF(E153="","UNPAID","PAID"))</f>
        <v/>
      </c>
      <c r="G153">
        <f>IF(OR(A153="",F153="PAID"),"",'Leak Report'!$B$3-C153)</f>
        <v/>
      </c>
      <c r="H153">
        <f>IF(G153="","",IF(G153&lt;=30,"0-30",IF(G153&lt;=60,"31-60",IF(G153&lt;=90,"61-90","90+"))))</f>
        <v/>
      </c>
    </row>
    <row r="154">
      <c r="F154" s="14">
        <f>IF(A154="","",IF(E154="","UNPAID","PAID"))</f>
        <v/>
      </c>
      <c r="G154">
        <f>IF(OR(A154="",F154="PAID"),"",'Leak Report'!$B$3-C154)</f>
        <v/>
      </c>
      <c r="H154">
        <f>IF(G154="","",IF(G154&lt;=30,"0-30",IF(G154&lt;=60,"31-60",IF(G154&lt;=90,"61-90","90+"))))</f>
        <v/>
      </c>
    </row>
    <row r="155">
      <c r="F155" s="14">
        <f>IF(A155="","",IF(E155="","UNPAID","PAID"))</f>
        <v/>
      </c>
      <c r="G155">
        <f>IF(OR(A155="",F155="PAID"),"",'Leak Report'!$B$3-C155)</f>
        <v/>
      </c>
      <c r="H155">
        <f>IF(G155="","",IF(G155&lt;=30,"0-30",IF(G155&lt;=60,"31-60",IF(G155&lt;=90,"61-90","90+"))))</f>
        <v/>
      </c>
    </row>
    <row r="156">
      <c r="F156" s="14">
        <f>IF(A156="","",IF(E156="","UNPAID","PAID"))</f>
        <v/>
      </c>
      <c r="G156">
        <f>IF(OR(A156="",F156="PAID"),"",'Leak Report'!$B$3-C156)</f>
        <v/>
      </c>
      <c r="H156">
        <f>IF(G156="","",IF(G156&lt;=30,"0-30",IF(G156&lt;=60,"31-60",IF(G156&lt;=90,"61-90","90+"))))</f>
        <v/>
      </c>
    </row>
    <row r="157">
      <c r="F157" s="14">
        <f>IF(A157="","",IF(E157="","UNPAID","PAID"))</f>
        <v/>
      </c>
      <c r="G157">
        <f>IF(OR(A157="",F157="PAID"),"",'Leak Report'!$B$3-C157)</f>
        <v/>
      </c>
      <c r="H157">
        <f>IF(G157="","",IF(G157&lt;=30,"0-30",IF(G157&lt;=60,"31-60",IF(G157&lt;=90,"61-90","90+"))))</f>
        <v/>
      </c>
    </row>
    <row r="158">
      <c r="F158" s="14">
        <f>IF(A158="","",IF(E158="","UNPAID","PAID"))</f>
        <v/>
      </c>
      <c r="G158">
        <f>IF(OR(A158="",F158="PAID"),"",'Leak Report'!$B$3-C158)</f>
        <v/>
      </c>
      <c r="H158">
        <f>IF(G158="","",IF(G158&lt;=30,"0-30",IF(G158&lt;=60,"31-60",IF(G158&lt;=90,"61-90","90+"))))</f>
        <v/>
      </c>
    </row>
    <row r="159">
      <c r="F159" s="14">
        <f>IF(A159="","",IF(E159="","UNPAID","PAID"))</f>
        <v/>
      </c>
      <c r="G159">
        <f>IF(OR(A159="",F159="PAID"),"",'Leak Report'!$B$3-C159)</f>
        <v/>
      </c>
      <c r="H159">
        <f>IF(G159="","",IF(G159&lt;=30,"0-30",IF(G159&lt;=60,"31-60",IF(G159&lt;=90,"61-90","90+"))))</f>
        <v/>
      </c>
    </row>
    <row r="160">
      <c r="F160" s="14">
        <f>IF(A160="","",IF(E160="","UNPAID","PAID"))</f>
        <v/>
      </c>
      <c r="G160">
        <f>IF(OR(A160="",F160="PAID"),"",'Leak Report'!$B$3-C160)</f>
        <v/>
      </c>
      <c r="H160">
        <f>IF(G160="","",IF(G160&lt;=30,"0-30",IF(G160&lt;=60,"31-60",IF(G160&lt;=90,"61-90","90+"))))</f>
        <v/>
      </c>
    </row>
    <row r="161">
      <c r="F161" s="14">
        <f>IF(A161="","",IF(E161="","UNPAID","PAID"))</f>
        <v/>
      </c>
      <c r="G161">
        <f>IF(OR(A161="",F161="PAID"),"",'Leak Report'!$B$3-C161)</f>
        <v/>
      </c>
      <c r="H161">
        <f>IF(G161="","",IF(G161&lt;=30,"0-30",IF(G161&lt;=60,"31-60",IF(G161&lt;=90,"61-90","90+"))))</f>
        <v/>
      </c>
    </row>
    <row r="162">
      <c r="F162" s="14">
        <f>IF(A162="","",IF(E162="","UNPAID","PAID"))</f>
        <v/>
      </c>
      <c r="G162">
        <f>IF(OR(A162="",F162="PAID"),"",'Leak Report'!$B$3-C162)</f>
        <v/>
      </c>
      <c r="H162">
        <f>IF(G162="","",IF(G162&lt;=30,"0-30",IF(G162&lt;=60,"31-60",IF(G162&lt;=90,"61-90","90+"))))</f>
        <v/>
      </c>
    </row>
    <row r="163">
      <c r="F163" s="14">
        <f>IF(A163="","",IF(E163="","UNPAID","PAID"))</f>
        <v/>
      </c>
      <c r="G163">
        <f>IF(OR(A163="",F163="PAID"),"",'Leak Report'!$B$3-C163)</f>
        <v/>
      </c>
      <c r="H163">
        <f>IF(G163="","",IF(G163&lt;=30,"0-30",IF(G163&lt;=60,"31-60",IF(G163&lt;=90,"61-90","90+"))))</f>
        <v/>
      </c>
    </row>
    <row r="164">
      <c r="F164" s="14">
        <f>IF(A164="","",IF(E164="","UNPAID","PAID"))</f>
        <v/>
      </c>
      <c r="G164">
        <f>IF(OR(A164="",F164="PAID"),"",'Leak Report'!$B$3-C164)</f>
        <v/>
      </c>
      <c r="H164">
        <f>IF(G164="","",IF(G164&lt;=30,"0-30",IF(G164&lt;=60,"31-60",IF(G164&lt;=90,"61-90","90+"))))</f>
        <v/>
      </c>
    </row>
    <row r="165">
      <c r="F165" s="14">
        <f>IF(A165="","",IF(E165="","UNPAID","PAID"))</f>
        <v/>
      </c>
      <c r="G165">
        <f>IF(OR(A165="",F165="PAID"),"",'Leak Report'!$B$3-C165)</f>
        <v/>
      </c>
      <c r="H165">
        <f>IF(G165="","",IF(G165&lt;=30,"0-30",IF(G165&lt;=60,"31-60",IF(G165&lt;=90,"61-90","90+"))))</f>
        <v/>
      </c>
    </row>
    <row r="166">
      <c r="F166" s="14">
        <f>IF(A166="","",IF(E166="","UNPAID","PAID"))</f>
        <v/>
      </c>
      <c r="G166">
        <f>IF(OR(A166="",F166="PAID"),"",'Leak Report'!$B$3-C166)</f>
        <v/>
      </c>
      <c r="H166">
        <f>IF(G166="","",IF(G166&lt;=30,"0-30",IF(G166&lt;=60,"31-60",IF(G166&lt;=90,"61-90","90+"))))</f>
        <v/>
      </c>
    </row>
    <row r="167">
      <c r="F167" s="14">
        <f>IF(A167="","",IF(E167="","UNPAID","PAID"))</f>
        <v/>
      </c>
      <c r="G167">
        <f>IF(OR(A167="",F167="PAID"),"",'Leak Report'!$B$3-C167)</f>
        <v/>
      </c>
      <c r="H167">
        <f>IF(G167="","",IF(G167&lt;=30,"0-30",IF(G167&lt;=60,"31-60",IF(G167&lt;=90,"61-90","90+"))))</f>
        <v/>
      </c>
    </row>
    <row r="168">
      <c r="F168" s="14">
        <f>IF(A168="","",IF(E168="","UNPAID","PAID"))</f>
        <v/>
      </c>
      <c r="G168">
        <f>IF(OR(A168="",F168="PAID"),"",'Leak Report'!$B$3-C168)</f>
        <v/>
      </c>
      <c r="H168">
        <f>IF(G168="","",IF(G168&lt;=30,"0-30",IF(G168&lt;=60,"31-60",IF(G168&lt;=90,"61-90","90+"))))</f>
        <v/>
      </c>
    </row>
    <row r="169">
      <c r="F169" s="14">
        <f>IF(A169="","",IF(E169="","UNPAID","PAID"))</f>
        <v/>
      </c>
      <c r="G169">
        <f>IF(OR(A169="",F169="PAID"),"",'Leak Report'!$B$3-C169)</f>
        <v/>
      </c>
      <c r="H169">
        <f>IF(G169="","",IF(G169&lt;=30,"0-30",IF(G169&lt;=60,"31-60",IF(G169&lt;=90,"61-90","90+"))))</f>
        <v/>
      </c>
    </row>
    <row r="170">
      <c r="F170" s="14">
        <f>IF(A170="","",IF(E170="","UNPAID","PAID"))</f>
        <v/>
      </c>
      <c r="G170">
        <f>IF(OR(A170="",F170="PAID"),"",'Leak Report'!$B$3-C170)</f>
        <v/>
      </c>
      <c r="H170">
        <f>IF(G170="","",IF(G170&lt;=30,"0-30",IF(G170&lt;=60,"31-60",IF(G170&lt;=90,"61-90","90+"))))</f>
        <v/>
      </c>
    </row>
    <row r="171">
      <c r="F171" s="14">
        <f>IF(A171="","",IF(E171="","UNPAID","PAID"))</f>
        <v/>
      </c>
      <c r="G171">
        <f>IF(OR(A171="",F171="PAID"),"",'Leak Report'!$B$3-C171)</f>
        <v/>
      </c>
      <c r="H171">
        <f>IF(G171="","",IF(G171&lt;=30,"0-30",IF(G171&lt;=60,"31-60",IF(G171&lt;=90,"61-90","90+"))))</f>
        <v/>
      </c>
    </row>
    <row r="172">
      <c r="F172" s="14">
        <f>IF(A172="","",IF(E172="","UNPAID","PAID"))</f>
        <v/>
      </c>
      <c r="G172">
        <f>IF(OR(A172="",F172="PAID"),"",'Leak Report'!$B$3-C172)</f>
        <v/>
      </c>
      <c r="H172">
        <f>IF(G172="","",IF(G172&lt;=30,"0-30",IF(G172&lt;=60,"31-60",IF(G172&lt;=90,"61-90","90+"))))</f>
        <v/>
      </c>
    </row>
    <row r="173">
      <c r="F173" s="14">
        <f>IF(A173="","",IF(E173="","UNPAID","PAID"))</f>
        <v/>
      </c>
      <c r="G173">
        <f>IF(OR(A173="",F173="PAID"),"",'Leak Report'!$B$3-C173)</f>
        <v/>
      </c>
      <c r="H173">
        <f>IF(G173="","",IF(G173&lt;=30,"0-30",IF(G173&lt;=60,"31-60",IF(G173&lt;=90,"61-90","90+"))))</f>
        <v/>
      </c>
    </row>
    <row r="174">
      <c r="F174" s="14">
        <f>IF(A174="","",IF(E174="","UNPAID","PAID"))</f>
        <v/>
      </c>
      <c r="G174">
        <f>IF(OR(A174="",F174="PAID"),"",'Leak Report'!$B$3-C174)</f>
        <v/>
      </c>
      <c r="H174">
        <f>IF(G174="","",IF(G174&lt;=30,"0-30",IF(G174&lt;=60,"31-60",IF(G174&lt;=90,"61-90","90+"))))</f>
        <v/>
      </c>
    </row>
    <row r="175">
      <c r="F175" s="14">
        <f>IF(A175="","",IF(E175="","UNPAID","PAID"))</f>
        <v/>
      </c>
      <c r="G175">
        <f>IF(OR(A175="",F175="PAID"),"",'Leak Report'!$B$3-C175)</f>
        <v/>
      </c>
      <c r="H175">
        <f>IF(G175="","",IF(G175&lt;=30,"0-30",IF(G175&lt;=60,"31-60",IF(G175&lt;=90,"61-90","90+"))))</f>
        <v/>
      </c>
    </row>
    <row r="176">
      <c r="F176" s="14">
        <f>IF(A176="","",IF(E176="","UNPAID","PAID"))</f>
        <v/>
      </c>
      <c r="G176">
        <f>IF(OR(A176="",F176="PAID"),"",'Leak Report'!$B$3-C176)</f>
        <v/>
      </c>
      <c r="H176">
        <f>IF(G176="","",IF(G176&lt;=30,"0-30",IF(G176&lt;=60,"31-60",IF(G176&lt;=90,"61-90","90+"))))</f>
        <v/>
      </c>
    </row>
    <row r="177">
      <c r="F177" s="14">
        <f>IF(A177="","",IF(E177="","UNPAID","PAID"))</f>
        <v/>
      </c>
      <c r="G177">
        <f>IF(OR(A177="",F177="PAID"),"",'Leak Report'!$B$3-C177)</f>
        <v/>
      </c>
      <c r="H177">
        <f>IF(G177="","",IF(G177&lt;=30,"0-30",IF(G177&lt;=60,"31-60",IF(G177&lt;=90,"61-90","90+"))))</f>
        <v/>
      </c>
    </row>
    <row r="178">
      <c r="F178" s="14">
        <f>IF(A178="","",IF(E178="","UNPAID","PAID"))</f>
        <v/>
      </c>
      <c r="G178">
        <f>IF(OR(A178="",F178="PAID"),"",'Leak Report'!$B$3-C178)</f>
        <v/>
      </c>
      <c r="H178">
        <f>IF(G178="","",IF(G178&lt;=30,"0-30",IF(G178&lt;=60,"31-60",IF(G178&lt;=90,"61-90","90+"))))</f>
        <v/>
      </c>
    </row>
    <row r="179">
      <c r="F179" s="14">
        <f>IF(A179="","",IF(E179="","UNPAID","PAID"))</f>
        <v/>
      </c>
      <c r="G179">
        <f>IF(OR(A179="",F179="PAID"),"",'Leak Report'!$B$3-C179)</f>
        <v/>
      </c>
      <c r="H179">
        <f>IF(G179="","",IF(G179&lt;=30,"0-30",IF(G179&lt;=60,"31-60",IF(G179&lt;=90,"61-90","90+"))))</f>
        <v/>
      </c>
    </row>
    <row r="180">
      <c r="F180" s="14">
        <f>IF(A180="","",IF(E180="","UNPAID","PAID"))</f>
        <v/>
      </c>
      <c r="G180">
        <f>IF(OR(A180="",F180="PAID"),"",'Leak Report'!$B$3-C180)</f>
        <v/>
      </c>
      <c r="H180">
        <f>IF(G180="","",IF(G180&lt;=30,"0-30",IF(G180&lt;=60,"31-60",IF(G180&lt;=90,"61-90","90+"))))</f>
        <v/>
      </c>
    </row>
    <row r="181">
      <c r="F181" s="14">
        <f>IF(A181="","",IF(E181="","UNPAID","PAID"))</f>
        <v/>
      </c>
      <c r="G181">
        <f>IF(OR(A181="",F181="PAID"),"",'Leak Report'!$B$3-C181)</f>
        <v/>
      </c>
      <c r="H181">
        <f>IF(G181="","",IF(G181&lt;=30,"0-30",IF(G181&lt;=60,"31-60",IF(G181&lt;=90,"61-90","90+"))))</f>
        <v/>
      </c>
    </row>
    <row r="182">
      <c r="F182" s="14">
        <f>IF(A182="","",IF(E182="","UNPAID","PAID"))</f>
        <v/>
      </c>
      <c r="G182">
        <f>IF(OR(A182="",F182="PAID"),"",'Leak Report'!$B$3-C182)</f>
        <v/>
      </c>
      <c r="H182">
        <f>IF(G182="","",IF(G182&lt;=30,"0-30",IF(G182&lt;=60,"31-60",IF(G182&lt;=90,"61-90","90+"))))</f>
        <v/>
      </c>
    </row>
    <row r="183">
      <c r="F183" s="14">
        <f>IF(A183="","",IF(E183="","UNPAID","PAID"))</f>
        <v/>
      </c>
      <c r="G183">
        <f>IF(OR(A183="",F183="PAID"),"",'Leak Report'!$B$3-C183)</f>
        <v/>
      </c>
      <c r="H183">
        <f>IF(G183="","",IF(G183&lt;=30,"0-30",IF(G183&lt;=60,"31-60",IF(G183&lt;=90,"61-90","90+"))))</f>
        <v/>
      </c>
    </row>
    <row r="184">
      <c r="F184" s="14">
        <f>IF(A184="","",IF(E184="","UNPAID","PAID"))</f>
        <v/>
      </c>
      <c r="G184">
        <f>IF(OR(A184="",F184="PAID"),"",'Leak Report'!$B$3-C184)</f>
        <v/>
      </c>
      <c r="H184">
        <f>IF(G184="","",IF(G184&lt;=30,"0-30",IF(G184&lt;=60,"31-60",IF(G184&lt;=90,"61-90","90+"))))</f>
        <v/>
      </c>
    </row>
    <row r="185">
      <c r="F185" s="14">
        <f>IF(A185="","",IF(E185="","UNPAID","PAID"))</f>
        <v/>
      </c>
      <c r="G185">
        <f>IF(OR(A185="",F185="PAID"),"",'Leak Report'!$B$3-C185)</f>
        <v/>
      </c>
      <c r="H185">
        <f>IF(G185="","",IF(G185&lt;=30,"0-30",IF(G185&lt;=60,"31-60",IF(G185&lt;=90,"61-90","90+"))))</f>
        <v/>
      </c>
    </row>
    <row r="186">
      <c r="F186" s="14">
        <f>IF(A186="","",IF(E186="","UNPAID","PAID"))</f>
        <v/>
      </c>
      <c r="G186">
        <f>IF(OR(A186="",F186="PAID"),"",'Leak Report'!$B$3-C186)</f>
        <v/>
      </c>
      <c r="H186">
        <f>IF(G186="","",IF(G186&lt;=30,"0-30",IF(G186&lt;=60,"31-60",IF(G186&lt;=90,"61-90","90+"))))</f>
        <v/>
      </c>
    </row>
    <row r="187">
      <c r="F187" s="14">
        <f>IF(A187="","",IF(E187="","UNPAID","PAID"))</f>
        <v/>
      </c>
      <c r="G187">
        <f>IF(OR(A187="",F187="PAID"),"",'Leak Report'!$B$3-C187)</f>
        <v/>
      </c>
      <c r="H187">
        <f>IF(G187="","",IF(G187&lt;=30,"0-30",IF(G187&lt;=60,"31-60",IF(G187&lt;=90,"61-90","90+"))))</f>
        <v/>
      </c>
    </row>
    <row r="188">
      <c r="F188" s="14">
        <f>IF(A188="","",IF(E188="","UNPAID","PAID"))</f>
        <v/>
      </c>
      <c r="G188">
        <f>IF(OR(A188="",F188="PAID"),"",'Leak Report'!$B$3-C188)</f>
        <v/>
      </c>
      <c r="H188">
        <f>IF(G188="","",IF(G188&lt;=30,"0-30",IF(G188&lt;=60,"31-60",IF(G188&lt;=90,"61-90","90+"))))</f>
        <v/>
      </c>
    </row>
    <row r="189">
      <c r="F189" s="14">
        <f>IF(A189="","",IF(E189="","UNPAID","PAID"))</f>
        <v/>
      </c>
      <c r="G189">
        <f>IF(OR(A189="",F189="PAID"),"",'Leak Report'!$B$3-C189)</f>
        <v/>
      </c>
      <c r="H189">
        <f>IF(G189="","",IF(G189&lt;=30,"0-30",IF(G189&lt;=60,"31-60",IF(G189&lt;=90,"61-90","90+"))))</f>
        <v/>
      </c>
    </row>
    <row r="190">
      <c r="F190" s="14">
        <f>IF(A190="","",IF(E190="","UNPAID","PAID"))</f>
        <v/>
      </c>
      <c r="G190">
        <f>IF(OR(A190="",F190="PAID"),"",'Leak Report'!$B$3-C190)</f>
        <v/>
      </c>
      <c r="H190">
        <f>IF(G190="","",IF(G190&lt;=30,"0-30",IF(G190&lt;=60,"31-60",IF(G190&lt;=90,"61-90","90+"))))</f>
        <v/>
      </c>
    </row>
    <row r="191">
      <c r="F191" s="14">
        <f>IF(A191="","",IF(E191="","UNPAID","PAID"))</f>
        <v/>
      </c>
      <c r="G191">
        <f>IF(OR(A191="",F191="PAID"),"",'Leak Report'!$B$3-C191)</f>
        <v/>
      </c>
      <c r="H191">
        <f>IF(G191="","",IF(G191&lt;=30,"0-30",IF(G191&lt;=60,"31-60",IF(G191&lt;=90,"61-90","90+"))))</f>
        <v/>
      </c>
    </row>
    <row r="192">
      <c r="F192" s="14">
        <f>IF(A192="","",IF(E192="","UNPAID","PAID"))</f>
        <v/>
      </c>
      <c r="G192">
        <f>IF(OR(A192="",F192="PAID"),"",'Leak Report'!$B$3-C192)</f>
        <v/>
      </c>
      <c r="H192">
        <f>IF(G192="","",IF(G192&lt;=30,"0-30",IF(G192&lt;=60,"31-60",IF(G192&lt;=90,"61-90","90+"))))</f>
        <v/>
      </c>
    </row>
    <row r="193">
      <c r="F193" s="14">
        <f>IF(A193="","",IF(E193="","UNPAID","PAID"))</f>
        <v/>
      </c>
      <c r="G193">
        <f>IF(OR(A193="",F193="PAID"),"",'Leak Report'!$B$3-C193)</f>
        <v/>
      </c>
      <c r="H193">
        <f>IF(G193="","",IF(G193&lt;=30,"0-30",IF(G193&lt;=60,"31-60",IF(G193&lt;=90,"61-90","90+"))))</f>
        <v/>
      </c>
    </row>
    <row r="194">
      <c r="F194" s="14">
        <f>IF(A194="","",IF(E194="","UNPAID","PAID"))</f>
        <v/>
      </c>
      <c r="G194">
        <f>IF(OR(A194="",F194="PAID"),"",'Leak Report'!$B$3-C194)</f>
        <v/>
      </c>
      <c r="H194">
        <f>IF(G194="","",IF(G194&lt;=30,"0-30",IF(G194&lt;=60,"31-60",IF(G194&lt;=90,"61-90","90+"))))</f>
        <v/>
      </c>
    </row>
    <row r="195">
      <c r="F195" s="14">
        <f>IF(A195="","",IF(E195="","UNPAID","PAID"))</f>
        <v/>
      </c>
      <c r="G195">
        <f>IF(OR(A195="",F195="PAID"),"",'Leak Report'!$B$3-C195)</f>
        <v/>
      </c>
      <c r="H195">
        <f>IF(G195="","",IF(G195&lt;=30,"0-30",IF(G195&lt;=60,"31-60",IF(G195&lt;=90,"61-90","90+"))))</f>
        <v/>
      </c>
    </row>
    <row r="196">
      <c r="F196" s="14">
        <f>IF(A196="","",IF(E196="","UNPAID","PAID"))</f>
        <v/>
      </c>
      <c r="G196">
        <f>IF(OR(A196="",F196="PAID"),"",'Leak Report'!$B$3-C196)</f>
        <v/>
      </c>
      <c r="H196">
        <f>IF(G196="","",IF(G196&lt;=30,"0-30",IF(G196&lt;=60,"31-60",IF(G196&lt;=90,"61-90","90+"))))</f>
        <v/>
      </c>
    </row>
    <row r="197">
      <c r="F197" s="14">
        <f>IF(A197="","",IF(E197="","UNPAID","PAID"))</f>
        <v/>
      </c>
      <c r="G197">
        <f>IF(OR(A197="",F197="PAID"),"",'Leak Report'!$B$3-C197)</f>
        <v/>
      </c>
      <c r="H197">
        <f>IF(G197="","",IF(G197&lt;=30,"0-30",IF(G197&lt;=60,"31-60",IF(G197&lt;=90,"61-90","90+"))))</f>
        <v/>
      </c>
    </row>
    <row r="198">
      <c r="F198" s="14">
        <f>IF(A198="","",IF(E198="","UNPAID","PAID"))</f>
        <v/>
      </c>
      <c r="G198">
        <f>IF(OR(A198="",F198="PAID"),"",'Leak Report'!$B$3-C198)</f>
        <v/>
      </c>
      <c r="H198">
        <f>IF(G198="","",IF(G198&lt;=30,"0-30",IF(G198&lt;=60,"31-60",IF(G198&lt;=90,"61-90","90+"))))</f>
        <v/>
      </c>
    </row>
    <row r="199">
      <c r="F199" s="14">
        <f>IF(A199="","",IF(E199="","UNPAID","PAID"))</f>
        <v/>
      </c>
      <c r="G199">
        <f>IF(OR(A199="",F199="PAID"),"",'Leak Report'!$B$3-C199)</f>
        <v/>
      </c>
      <c r="H199">
        <f>IF(G199="","",IF(G199&lt;=30,"0-30",IF(G199&lt;=60,"31-60",IF(G199&lt;=90,"61-90","90+"))))</f>
        <v/>
      </c>
    </row>
    <row r="200">
      <c r="F200" s="14">
        <f>IF(A200="","",IF(E200="","UNPAID","PAID"))</f>
        <v/>
      </c>
      <c r="G200">
        <f>IF(OR(A200="",F200="PAID"),"",'Leak Report'!$B$3-C200)</f>
        <v/>
      </c>
      <c r="H200">
        <f>IF(G200="","",IF(G200&lt;=30,"0-30",IF(G200&lt;=60,"31-60",IF(G200&lt;=90,"61-90","90+"))))</f>
        <v/>
      </c>
    </row>
    <row r="201">
      <c r="F201" s="14">
        <f>IF(A201="","",IF(E201="","UNPAID","PAID"))</f>
        <v/>
      </c>
      <c r="G201">
        <f>IF(OR(A201="",F201="PAID"),"",'Leak Report'!$B$3-C201)</f>
        <v/>
      </c>
      <c r="H201">
        <f>IF(G201="","",IF(G201&lt;=30,"0-30",IF(G201&lt;=60,"31-60",IF(G201&lt;=90,"61-90","90+"))))</f>
        <v/>
      </c>
    </row>
    <row r="202">
      <c r="F202" s="14">
        <f>IF(A202="","",IF(E202="","UNPAID","PAID"))</f>
        <v/>
      </c>
      <c r="G202">
        <f>IF(OR(A202="",F202="PAID"),"",'Leak Report'!$B$3-C202)</f>
        <v/>
      </c>
      <c r="H202">
        <f>IF(G202="","",IF(G202&lt;=30,"0-30",IF(G202&lt;=60,"31-60",IF(G202&lt;=90,"61-90","90+"))))</f>
        <v/>
      </c>
    </row>
    <row r="203">
      <c r="F203" s="14">
        <f>IF(A203="","",IF(E203="","UNPAID","PAID"))</f>
        <v/>
      </c>
      <c r="G203">
        <f>IF(OR(A203="",F203="PAID"),"",'Leak Report'!$B$3-C203)</f>
        <v/>
      </c>
      <c r="H203">
        <f>IF(G203="","",IF(G203&lt;=30,"0-30",IF(G203&lt;=60,"31-60",IF(G203&lt;=90,"61-90","90+"))))</f>
        <v/>
      </c>
    </row>
    <row r="204">
      <c r="F204" s="14">
        <f>IF(A204="","",IF(E204="","UNPAID","PAID"))</f>
        <v/>
      </c>
      <c r="G204">
        <f>IF(OR(A204="",F204="PAID"),"",'Leak Report'!$B$3-C204)</f>
        <v/>
      </c>
      <c r="H204">
        <f>IF(G204="","",IF(G204&lt;=30,"0-30",IF(G204&lt;=60,"31-60",IF(G204&lt;=90,"61-90","90+"))))</f>
        <v/>
      </c>
    </row>
    <row r="205">
      <c r="F205" s="14">
        <f>IF(A205="","",IF(E205="","UNPAID","PAID"))</f>
        <v/>
      </c>
      <c r="G205">
        <f>IF(OR(A205="",F205="PAID"),"",'Leak Report'!$B$3-C205)</f>
        <v/>
      </c>
      <c r="H205">
        <f>IF(G205="","",IF(G205&lt;=30,"0-30",IF(G205&lt;=60,"31-60",IF(G205&lt;=90,"61-90","90+"))))</f>
        <v/>
      </c>
    </row>
    <row r="206">
      <c r="F206" s="14">
        <f>IF(A206="","",IF(E206="","UNPAID","PAID"))</f>
        <v/>
      </c>
      <c r="G206">
        <f>IF(OR(A206="",F206="PAID"),"",'Leak Report'!$B$3-C206)</f>
        <v/>
      </c>
      <c r="H206">
        <f>IF(G206="","",IF(G206&lt;=30,"0-30",IF(G206&lt;=60,"31-60",IF(G206&lt;=90,"61-90","90+"))))</f>
        <v/>
      </c>
    </row>
    <row r="207">
      <c r="F207" s="14">
        <f>IF(A207="","",IF(E207="","UNPAID","PAID"))</f>
        <v/>
      </c>
      <c r="G207">
        <f>IF(OR(A207="",F207="PAID"),"",'Leak Report'!$B$3-C207)</f>
        <v/>
      </c>
      <c r="H207">
        <f>IF(G207="","",IF(G207&lt;=30,"0-30",IF(G207&lt;=60,"31-60",IF(G207&lt;=90,"61-90","90+"))))</f>
        <v/>
      </c>
    </row>
    <row r="208">
      <c r="F208" s="14">
        <f>IF(A208="","",IF(E208="","UNPAID","PAID"))</f>
        <v/>
      </c>
      <c r="G208">
        <f>IF(OR(A208="",F208="PAID"),"",'Leak Report'!$B$3-C208)</f>
        <v/>
      </c>
      <c r="H208">
        <f>IF(G208="","",IF(G208&lt;=30,"0-30",IF(G208&lt;=60,"31-60",IF(G208&lt;=90,"61-90","90+"))))</f>
        <v/>
      </c>
    </row>
    <row r="209">
      <c r="F209" s="14">
        <f>IF(A209="","",IF(E209="","UNPAID","PAID"))</f>
        <v/>
      </c>
      <c r="G209">
        <f>IF(OR(A209="",F209="PAID"),"",'Leak Report'!$B$3-C209)</f>
        <v/>
      </c>
      <c r="H209">
        <f>IF(G209="","",IF(G209&lt;=30,"0-30",IF(G209&lt;=60,"31-60",IF(G209&lt;=90,"61-90","90+"))))</f>
        <v/>
      </c>
    </row>
    <row r="210">
      <c r="F210" s="14">
        <f>IF(A210="","",IF(E210="","UNPAID","PAID"))</f>
        <v/>
      </c>
      <c r="G210">
        <f>IF(OR(A210="",F210="PAID"),"",'Leak Report'!$B$3-C210)</f>
        <v/>
      </c>
      <c r="H210">
        <f>IF(G210="","",IF(G210&lt;=30,"0-30",IF(G210&lt;=60,"31-60",IF(G210&lt;=90,"61-90","90+"))))</f>
        <v/>
      </c>
    </row>
    <row r="211">
      <c r="F211" s="14">
        <f>IF(A211="","",IF(E211="","UNPAID","PAID"))</f>
        <v/>
      </c>
      <c r="G211">
        <f>IF(OR(A211="",F211="PAID"),"",'Leak Report'!$B$3-C211)</f>
        <v/>
      </c>
      <c r="H211">
        <f>IF(G211="","",IF(G211&lt;=30,"0-30",IF(G211&lt;=60,"31-60",IF(G211&lt;=90,"61-90","90+"))))</f>
        <v/>
      </c>
    </row>
    <row r="212">
      <c r="F212" s="14">
        <f>IF(A212="","",IF(E212="","UNPAID","PAID"))</f>
        <v/>
      </c>
      <c r="G212">
        <f>IF(OR(A212="",F212="PAID"),"",'Leak Report'!$B$3-C212)</f>
        <v/>
      </c>
      <c r="H212">
        <f>IF(G212="","",IF(G212&lt;=30,"0-30",IF(G212&lt;=60,"31-60",IF(G212&lt;=90,"61-90","90+"))))</f>
        <v/>
      </c>
    </row>
    <row r="213">
      <c r="F213" s="14">
        <f>IF(A213="","",IF(E213="","UNPAID","PAID"))</f>
        <v/>
      </c>
      <c r="G213">
        <f>IF(OR(A213="",F213="PAID"),"",'Leak Report'!$B$3-C213)</f>
        <v/>
      </c>
      <c r="H213">
        <f>IF(G213="","",IF(G213&lt;=30,"0-30",IF(G213&lt;=60,"31-60",IF(G213&lt;=90,"61-90","90+"))))</f>
        <v/>
      </c>
    </row>
    <row r="214">
      <c r="F214" s="14">
        <f>IF(A214="","",IF(E214="","UNPAID","PAID"))</f>
        <v/>
      </c>
      <c r="G214">
        <f>IF(OR(A214="",F214="PAID"),"",'Leak Report'!$B$3-C214)</f>
        <v/>
      </c>
      <c r="H214">
        <f>IF(G214="","",IF(G214&lt;=30,"0-30",IF(G214&lt;=60,"31-60",IF(G214&lt;=90,"61-90","90+"))))</f>
        <v/>
      </c>
    </row>
    <row r="215">
      <c r="F215" s="14">
        <f>IF(A215="","",IF(E215="","UNPAID","PAID"))</f>
        <v/>
      </c>
      <c r="G215">
        <f>IF(OR(A215="",F215="PAID"),"",'Leak Report'!$B$3-C215)</f>
        <v/>
      </c>
      <c r="H215">
        <f>IF(G215="","",IF(G215&lt;=30,"0-30",IF(G215&lt;=60,"31-60",IF(G215&lt;=90,"61-90","90+"))))</f>
        <v/>
      </c>
    </row>
    <row r="216">
      <c r="F216" s="14">
        <f>IF(A216="","",IF(E216="","UNPAID","PAID"))</f>
        <v/>
      </c>
      <c r="G216">
        <f>IF(OR(A216="",F216="PAID"),"",'Leak Report'!$B$3-C216)</f>
        <v/>
      </c>
      <c r="H216">
        <f>IF(G216="","",IF(G216&lt;=30,"0-30",IF(G216&lt;=60,"31-60",IF(G216&lt;=90,"61-90","90+"))))</f>
        <v/>
      </c>
    </row>
    <row r="217">
      <c r="F217" s="14">
        <f>IF(A217="","",IF(E217="","UNPAID","PAID"))</f>
        <v/>
      </c>
      <c r="G217">
        <f>IF(OR(A217="",F217="PAID"),"",'Leak Report'!$B$3-C217)</f>
        <v/>
      </c>
      <c r="H217">
        <f>IF(G217="","",IF(G217&lt;=30,"0-30",IF(G217&lt;=60,"31-60",IF(G217&lt;=90,"61-90","90+"))))</f>
        <v/>
      </c>
    </row>
    <row r="218">
      <c r="F218" s="14">
        <f>IF(A218="","",IF(E218="","UNPAID","PAID"))</f>
        <v/>
      </c>
      <c r="G218">
        <f>IF(OR(A218="",F218="PAID"),"",'Leak Report'!$B$3-C218)</f>
        <v/>
      </c>
      <c r="H218">
        <f>IF(G218="","",IF(G218&lt;=30,"0-30",IF(G218&lt;=60,"31-60",IF(G218&lt;=90,"61-90","90+"))))</f>
        <v/>
      </c>
    </row>
    <row r="219">
      <c r="F219" s="14">
        <f>IF(A219="","",IF(E219="","UNPAID","PAID"))</f>
        <v/>
      </c>
      <c r="G219">
        <f>IF(OR(A219="",F219="PAID"),"",'Leak Report'!$B$3-C219)</f>
        <v/>
      </c>
      <c r="H219">
        <f>IF(G219="","",IF(G219&lt;=30,"0-30",IF(G219&lt;=60,"31-60",IF(G219&lt;=90,"61-90","90+"))))</f>
        <v/>
      </c>
    </row>
    <row r="220">
      <c r="F220" s="14">
        <f>IF(A220="","",IF(E220="","UNPAID","PAID"))</f>
        <v/>
      </c>
      <c r="G220">
        <f>IF(OR(A220="",F220="PAID"),"",'Leak Report'!$B$3-C220)</f>
        <v/>
      </c>
      <c r="H220">
        <f>IF(G220="","",IF(G220&lt;=30,"0-30",IF(G220&lt;=60,"31-60",IF(G220&lt;=90,"61-90","90+"))))</f>
        <v/>
      </c>
    </row>
    <row r="221">
      <c r="F221" s="14">
        <f>IF(A221="","",IF(E221="","UNPAID","PAID"))</f>
        <v/>
      </c>
      <c r="G221">
        <f>IF(OR(A221="",F221="PAID"),"",'Leak Report'!$B$3-C221)</f>
        <v/>
      </c>
      <c r="H221">
        <f>IF(G221="","",IF(G221&lt;=30,"0-30",IF(G221&lt;=60,"31-60",IF(G221&lt;=90,"61-90","90+"))))</f>
        <v/>
      </c>
    </row>
    <row r="222">
      <c r="F222" s="14">
        <f>IF(A222="","",IF(E222="","UNPAID","PAID"))</f>
        <v/>
      </c>
      <c r="G222">
        <f>IF(OR(A222="",F222="PAID"),"",'Leak Report'!$B$3-C222)</f>
        <v/>
      </c>
      <c r="H222">
        <f>IF(G222="","",IF(G222&lt;=30,"0-30",IF(G222&lt;=60,"31-60",IF(G222&lt;=90,"61-90","90+"))))</f>
        <v/>
      </c>
    </row>
    <row r="223">
      <c r="F223" s="14">
        <f>IF(A223="","",IF(E223="","UNPAID","PAID"))</f>
        <v/>
      </c>
      <c r="G223">
        <f>IF(OR(A223="",F223="PAID"),"",'Leak Report'!$B$3-C223)</f>
        <v/>
      </c>
      <c r="H223">
        <f>IF(G223="","",IF(G223&lt;=30,"0-30",IF(G223&lt;=60,"31-60",IF(G223&lt;=90,"61-90","90+"))))</f>
        <v/>
      </c>
    </row>
    <row r="224">
      <c r="F224" s="14">
        <f>IF(A224="","",IF(E224="","UNPAID","PAID"))</f>
        <v/>
      </c>
      <c r="G224">
        <f>IF(OR(A224="",F224="PAID"),"",'Leak Report'!$B$3-C224)</f>
        <v/>
      </c>
      <c r="H224">
        <f>IF(G224="","",IF(G224&lt;=30,"0-30",IF(G224&lt;=60,"31-60",IF(G224&lt;=90,"61-90","90+"))))</f>
        <v/>
      </c>
    </row>
    <row r="225">
      <c r="F225" s="14">
        <f>IF(A225="","",IF(E225="","UNPAID","PAID"))</f>
        <v/>
      </c>
      <c r="G225">
        <f>IF(OR(A225="",F225="PAID"),"",'Leak Report'!$B$3-C225)</f>
        <v/>
      </c>
      <c r="H225">
        <f>IF(G225="","",IF(G225&lt;=30,"0-30",IF(G225&lt;=60,"31-60",IF(G225&lt;=90,"61-90","90+"))))</f>
        <v/>
      </c>
    </row>
    <row r="226">
      <c r="F226" s="14">
        <f>IF(A226="","",IF(E226="","UNPAID","PAID"))</f>
        <v/>
      </c>
      <c r="G226">
        <f>IF(OR(A226="",F226="PAID"),"",'Leak Report'!$B$3-C226)</f>
        <v/>
      </c>
      <c r="H226">
        <f>IF(G226="","",IF(G226&lt;=30,"0-30",IF(G226&lt;=60,"31-60",IF(G226&lt;=90,"61-90","90+"))))</f>
        <v/>
      </c>
    </row>
    <row r="227">
      <c r="F227" s="14">
        <f>IF(A227="","",IF(E227="","UNPAID","PAID"))</f>
        <v/>
      </c>
      <c r="G227">
        <f>IF(OR(A227="",F227="PAID"),"",'Leak Report'!$B$3-C227)</f>
        <v/>
      </c>
      <c r="H227">
        <f>IF(G227="","",IF(G227&lt;=30,"0-30",IF(G227&lt;=60,"31-60",IF(G227&lt;=90,"61-90","90+"))))</f>
        <v/>
      </c>
    </row>
    <row r="228">
      <c r="F228" s="14">
        <f>IF(A228="","",IF(E228="","UNPAID","PAID"))</f>
        <v/>
      </c>
      <c r="G228">
        <f>IF(OR(A228="",F228="PAID"),"",'Leak Report'!$B$3-C228)</f>
        <v/>
      </c>
      <c r="H228">
        <f>IF(G228="","",IF(G228&lt;=30,"0-30",IF(G228&lt;=60,"31-60",IF(G228&lt;=90,"61-90","90+"))))</f>
        <v/>
      </c>
    </row>
    <row r="229">
      <c r="F229" s="14">
        <f>IF(A229="","",IF(E229="","UNPAID","PAID"))</f>
        <v/>
      </c>
      <c r="G229">
        <f>IF(OR(A229="",F229="PAID"),"",'Leak Report'!$B$3-C229)</f>
        <v/>
      </c>
      <c r="H229">
        <f>IF(G229="","",IF(G229&lt;=30,"0-30",IF(G229&lt;=60,"31-60",IF(G229&lt;=90,"61-90","90+"))))</f>
        <v/>
      </c>
    </row>
    <row r="230">
      <c r="F230" s="14">
        <f>IF(A230="","",IF(E230="","UNPAID","PAID"))</f>
        <v/>
      </c>
      <c r="G230">
        <f>IF(OR(A230="",F230="PAID"),"",'Leak Report'!$B$3-C230)</f>
        <v/>
      </c>
      <c r="H230">
        <f>IF(G230="","",IF(G230&lt;=30,"0-30",IF(G230&lt;=60,"31-60",IF(G230&lt;=90,"61-90","90+"))))</f>
        <v/>
      </c>
    </row>
    <row r="231">
      <c r="F231" s="14">
        <f>IF(A231="","",IF(E231="","UNPAID","PAID"))</f>
        <v/>
      </c>
      <c r="G231">
        <f>IF(OR(A231="",F231="PAID"),"",'Leak Report'!$B$3-C231)</f>
        <v/>
      </c>
      <c r="H231">
        <f>IF(G231="","",IF(G231&lt;=30,"0-30",IF(G231&lt;=60,"31-60",IF(G231&lt;=90,"61-90","90+"))))</f>
        <v/>
      </c>
    </row>
    <row r="232">
      <c r="F232" s="14">
        <f>IF(A232="","",IF(E232="","UNPAID","PAID"))</f>
        <v/>
      </c>
      <c r="G232">
        <f>IF(OR(A232="",F232="PAID"),"",'Leak Report'!$B$3-C232)</f>
        <v/>
      </c>
      <c r="H232">
        <f>IF(G232="","",IF(G232&lt;=30,"0-30",IF(G232&lt;=60,"31-60",IF(G232&lt;=90,"61-90","90+"))))</f>
        <v/>
      </c>
    </row>
    <row r="233">
      <c r="F233" s="14">
        <f>IF(A233="","",IF(E233="","UNPAID","PAID"))</f>
        <v/>
      </c>
      <c r="G233">
        <f>IF(OR(A233="",F233="PAID"),"",'Leak Report'!$B$3-C233)</f>
        <v/>
      </c>
      <c r="H233">
        <f>IF(G233="","",IF(G233&lt;=30,"0-30",IF(G233&lt;=60,"31-60",IF(G233&lt;=90,"61-90","90+"))))</f>
        <v/>
      </c>
    </row>
    <row r="234">
      <c r="F234" s="14">
        <f>IF(A234="","",IF(E234="","UNPAID","PAID"))</f>
        <v/>
      </c>
      <c r="G234">
        <f>IF(OR(A234="",F234="PAID"),"",'Leak Report'!$B$3-C234)</f>
        <v/>
      </c>
      <c r="H234">
        <f>IF(G234="","",IF(G234&lt;=30,"0-30",IF(G234&lt;=60,"31-60",IF(G234&lt;=90,"61-90","90+"))))</f>
        <v/>
      </c>
    </row>
    <row r="235">
      <c r="F235" s="14">
        <f>IF(A235="","",IF(E235="","UNPAID","PAID"))</f>
        <v/>
      </c>
      <c r="G235">
        <f>IF(OR(A235="",F235="PAID"),"",'Leak Report'!$B$3-C235)</f>
        <v/>
      </c>
      <c r="H235">
        <f>IF(G235="","",IF(G235&lt;=30,"0-30",IF(G235&lt;=60,"31-60",IF(G235&lt;=90,"61-90","90+"))))</f>
        <v/>
      </c>
    </row>
    <row r="236">
      <c r="F236" s="14">
        <f>IF(A236="","",IF(E236="","UNPAID","PAID"))</f>
        <v/>
      </c>
      <c r="G236">
        <f>IF(OR(A236="",F236="PAID"),"",'Leak Report'!$B$3-C236)</f>
        <v/>
      </c>
      <c r="H236">
        <f>IF(G236="","",IF(G236&lt;=30,"0-30",IF(G236&lt;=60,"31-60",IF(G236&lt;=90,"61-90","90+"))))</f>
        <v/>
      </c>
    </row>
    <row r="237">
      <c r="F237" s="14">
        <f>IF(A237="","",IF(E237="","UNPAID","PAID"))</f>
        <v/>
      </c>
      <c r="G237">
        <f>IF(OR(A237="",F237="PAID"),"",'Leak Report'!$B$3-C237)</f>
        <v/>
      </c>
      <c r="H237">
        <f>IF(G237="","",IF(G237&lt;=30,"0-30",IF(G237&lt;=60,"31-60",IF(G237&lt;=90,"61-90","90+"))))</f>
        <v/>
      </c>
    </row>
    <row r="238">
      <c r="F238" s="14">
        <f>IF(A238="","",IF(E238="","UNPAID","PAID"))</f>
        <v/>
      </c>
      <c r="G238">
        <f>IF(OR(A238="",F238="PAID"),"",'Leak Report'!$B$3-C238)</f>
        <v/>
      </c>
      <c r="H238">
        <f>IF(G238="","",IF(G238&lt;=30,"0-30",IF(G238&lt;=60,"31-60",IF(G238&lt;=90,"61-90","90+"))))</f>
        <v/>
      </c>
    </row>
    <row r="239">
      <c r="F239" s="14">
        <f>IF(A239="","",IF(E239="","UNPAID","PAID"))</f>
        <v/>
      </c>
      <c r="G239">
        <f>IF(OR(A239="",F239="PAID"),"",'Leak Report'!$B$3-C239)</f>
        <v/>
      </c>
      <c r="H239">
        <f>IF(G239="","",IF(G239&lt;=30,"0-30",IF(G239&lt;=60,"31-60",IF(G239&lt;=90,"61-90","90+"))))</f>
        <v/>
      </c>
    </row>
    <row r="240">
      <c r="F240" s="14">
        <f>IF(A240="","",IF(E240="","UNPAID","PAID"))</f>
        <v/>
      </c>
      <c r="G240">
        <f>IF(OR(A240="",F240="PAID"),"",'Leak Report'!$B$3-C240)</f>
        <v/>
      </c>
      <c r="H240">
        <f>IF(G240="","",IF(G240&lt;=30,"0-30",IF(G240&lt;=60,"31-60",IF(G240&lt;=90,"61-90","90+"))))</f>
        <v/>
      </c>
    </row>
    <row r="241">
      <c r="F241" s="14">
        <f>IF(A241="","",IF(E241="","UNPAID","PAID"))</f>
        <v/>
      </c>
      <c r="G241">
        <f>IF(OR(A241="",F241="PAID"),"",'Leak Report'!$B$3-C241)</f>
        <v/>
      </c>
      <c r="H241">
        <f>IF(G241="","",IF(G241&lt;=30,"0-30",IF(G241&lt;=60,"31-60",IF(G241&lt;=90,"61-90","90+"))))</f>
        <v/>
      </c>
    </row>
    <row r="242">
      <c r="F242" s="14">
        <f>IF(A242="","",IF(E242="","UNPAID","PAID"))</f>
        <v/>
      </c>
      <c r="G242">
        <f>IF(OR(A242="",F242="PAID"),"",'Leak Report'!$B$3-C242)</f>
        <v/>
      </c>
      <c r="H242">
        <f>IF(G242="","",IF(G242&lt;=30,"0-30",IF(G242&lt;=60,"31-60",IF(G242&lt;=90,"61-90","90+"))))</f>
        <v/>
      </c>
    </row>
    <row r="243">
      <c r="F243" s="14">
        <f>IF(A243="","",IF(E243="","UNPAID","PAID"))</f>
        <v/>
      </c>
      <c r="G243">
        <f>IF(OR(A243="",F243="PAID"),"",'Leak Report'!$B$3-C243)</f>
        <v/>
      </c>
      <c r="H243">
        <f>IF(G243="","",IF(G243&lt;=30,"0-30",IF(G243&lt;=60,"31-60",IF(G243&lt;=90,"61-90","90+"))))</f>
        <v/>
      </c>
    </row>
    <row r="244">
      <c r="F244" s="14">
        <f>IF(A244="","",IF(E244="","UNPAID","PAID"))</f>
        <v/>
      </c>
      <c r="G244">
        <f>IF(OR(A244="",F244="PAID"),"",'Leak Report'!$B$3-C244)</f>
        <v/>
      </c>
      <c r="H244">
        <f>IF(G244="","",IF(G244&lt;=30,"0-30",IF(G244&lt;=60,"31-60",IF(G244&lt;=90,"61-90","90+"))))</f>
        <v/>
      </c>
    </row>
    <row r="245">
      <c r="F245" s="14">
        <f>IF(A245="","",IF(E245="","UNPAID","PAID"))</f>
        <v/>
      </c>
      <c r="G245">
        <f>IF(OR(A245="",F245="PAID"),"",'Leak Report'!$B$3-C245)</f>
        <v/>
      </c>
      <c r="H245">
        <f>IF(G245="","",IF(G245&lt;=30,"0-30",IF(G245&lt;=60,"31-60",IF(G245&lt;=90,"61-90","90+"))))</f>
        <v/>
      </c>
    </row>
    <row r="246">
      <c r="F246" s="14">
        <f>IF(A246="","",IF(E246="","UNPAID","PAID"))</f>
        <v/>
      </c>
      <c r="G246">
        <f>IF(OR(A246="",F246="PAID"),"",'Leak Report'!$B$3-C246)</f>
        <v/>
      </c>
      <c r="H246">
        <f>IF(G246="","",IF(G246&lt;=30,"0-30",IF(G246&lt;=60,"31-60",IF(G246&lt;=90,"61-90","90+"))))</f>
        <v/>
      </c>
    </row>
    <row r="247">
      <c r="F247" s="14">
        <f>IF(A247="","",IF(E247="","UNPAID","PAID"))</f>
        <v/>
      </c>
      <c r="G247">
        <f>IF(OR(A247="",F247="PAID"),"",'Leak Report'!$B$3-C247)</f>
        <v/>
      </c>
      <c r="H247">
        <f>IF(G247="","",IF(G247&lt;=30,"0-30",IF(G247&lt;=60,"31-60",IF(G247&lt;=90,"61-90","90+"))))</f>
        <v/>
      </c>
    </row>
    <row r="248">
      <c r="F248" s="14">
        <f>IF(A248="","",IF(E248="","UNPAID","PAID"))</f>
        <v/>
      </c>
      <c r="G248">
        <f>IF(OR(A248="",F248="PAID"),"",'Leak Report'!$B$3-C248)</f>
        <v/>
      </c>
      <c r="H248">
        <f>IF(G248="","",IF(G248&lt;=30,"0-30",IF(G248&lt;=60,"31-60",IF(G248&lt;=90,"61-90","90+"))))</f>
        <v/>
      </c>
    </row>
    <row r="249">
      <c r="F249" s="14">
        <f>IF(A249="","",IF(E249="","UNPAID","PAID"))</f>
        <v/>
      </c>
      <c r="G249">
        <f>IF(OR(A249="",F249="PAID"),"",'Leak Report'!$B$3-C249)</f>
        <v/>
      </c>
      <c r="H249">
        <f>IF(G249="","",IF(G249&lt;=30,"0-30",IF(G249&lt;=60,"31-60",IF(G249&lt;=90,"61-90","90+"))))</f>
        <v/>
      </c>
    </row>
    <row r="250">
      <c r="F250" s="14">
        <f>IF(A250="","",IF(E250="","UNPAID","PAID"))</f>
        <v/>
      </c>
      <c r="G250">
        <f>IF(OR(A250="",F250="PAID"),"",'Leak Report'!$B$3-C250)</f>
        <v/>
      </c>
      <c r="H250">
        <f>IF(G250="","",IF(G250&lt;=30,"0-30",IF(G250&lt;=60,"31-60",IF(G250&lt;=90,"61-90","90+"))))</f>
        <v/>
      </c>
    </row>
    <row r="251">
      <c r="F251" s="14">
        <f>IF(A251="","",IF(E251="","UNPAID","PAID"))</f>
        <v/>
      </c>
      <c r="G251">
        <f>IF(OR(A251="",F251="PAID"),"",'Leak Report'!$B$3-C251)</f>
        <v/>
      </c>
      <c r="H251">
        <f>IF(G251="","",IF(G251&lt;=30,"0-30",IF(G251&lt;=60,"31-60",IF(G251&lt;=90,"61-90","90+"))))</f>
        <v/>
      </c>
    </row>
    <row r="252">
      <c r="F252" s="14">
        <f>IF(A252="","",IF(E252="","UNPAID","PAID"))</f>
        <v/>
      </c>
      <c r="G252">
        <f>IF(OR(A252="",F252="PAID"),"",'Leak Report'!$B$3-C252)</f>
        <v/>
      </c>
      <c r="H252">
        <f>IF(G252="","",IF(G252&lt;=30,"0-30",IF(G252&lt;=60,"31-60",IF(G252&lt;=90,"61-90","90+"))))</f>
        <v/>
      </c>
    </row>
    <row r="253">
      <c r="F253" s="14">
        <f>IF(A253="","",IF(E253="","UNPAID","PAID"))</f>
        <v/>
      </c>
      <c r="G253">
        <f>IF(OR(A253="",F253="PAID"),"",'Leak Report'!$B$3-C253)</f>
        <v/>
      </c>
      <c r="H253">
        <f>IF(G253="","",IF(G253&lt;=30,"0-30",IF(G253&lt;=60,"31-60",IF(G253&lt;=90,"61-90","90+"))))</f>
        <v/>
      </c>
    </row>
    <row r="254">
      <c r="F254" s="14">
        <f>IF(A254="","",IF(E254="","UNPAID","PAID"))</f>
        <v/>
      </c>
      <c r="G254">
        <f>IF(OR(A254="",F254="PAID"),"",'Leak Report'!$B$3-C254)</f>
        <v/>
      </c>
      <c r="H254">
        <f>IF(G254="","",IF(G254&lt;=30,"0-30",IF(G254&lt;=60,"31-60",IF(G254&lt;=90,"61-90","90+"))))</f>
        <v/>
      </c>
    </row>
    <row r="255">
      <c r="F255" s="14">
        <f>IF(A255="","",IF(E255="","UNPAID","PAID"))</f>
        <v/>
      </c>
      <c r="G255">
        <f>IF(OR(A255="",F255="PAID"),"",'Leak Report'!$B$3-C255)</f>
        <v/>
      </c>
      <c r="H255">
        <f>IF(G255="","",IF(G255&lt;=30,"0-30",IF(G255&lt;=60,"31-60",IF(G255&lt;=90,"61-90","90+"))))</f>
        <v/>
      </c>
    </row>
    <row r="256">
      <c r="F256" s="14">
        <f>IF(A256="","",IF(E256="","UNPAID","PAID"))</f>
        <v/>
      </c>
      <c r="G256">
        <f>IF(OR(A256="",F256="PAID"),"",'Leak Report'!$B$3-C256)</f>
        <v/>
      </c>
      <c r="H256">
        <f>IF(G256="","",IF(G256&lt;=30,"0-30",IF(G256&lt;=60,"31-60",IF(G256&lt;=90,"61-90","90+"))))</f>
        <v/>
      </c>
    </row>
    <row r="257">
      <c r="F257" s="14">
        <f>IF(A257="","",IF(E257="","UNPAID","PAID"))</f>
        <v/>
      </c>
      <c r="G257">
        <f>IF(OR(A257="",F257="PAID"),"",'Leak Report'!$B$3-C257)</f>
        <v/>
      </c>
      <c r="H257">
        <f>IF(G257="","",IF(G257&lt;=30,"0-30",IF(G257&lt;=60,"31-60",IF(G257&lt;=90,"61-90","90+"))))</f>
        <v/>
      </c>
    </row>
    <row r="258">
      <c r="F258" s="14">
        <f>IF(A258="","",IF(E258="","UNPAID","PAID"))</f>
        <v/>
      </c>
      <c r="G258">
        <f>IF(OR(A258="",F258="PAID"),"",'Leak Report'!$B$3-C258)</f>
        <v/>
      </c>
      <c r="H258">
        <f>IF(G258="","",IF(G258&lt;=30,"0-30",IF(G258&lt;=60,"31-60",IF(G258&lt;=90,"61-90","90+"))))</f>
        <v/>
      </c>
    </row>
    <row r="259">
      <c r="F259" s="14">
        <f>IF(A259="","",IF(E259="","UNPAID","PAID"))</f>
        <v/>
      </c>
      <c r="G259">
        <f>IF(OR(A259="",F259="PAID"),"",'Leak Report'!$B$3-C259)</f>
        <v/>
      </c>
      <c r="H259">
        <f>IF(G259="","",IF(G259&lt;=30,"0-30",IF(G259&lt;=60,"31-60",IF(G259&lt;=90,"61-90","90+"))))</f>
        <v/>
      </c>
    </row>
    <row r="260">
      <c r="F260" s="14">
        <f>IF(A260="","",IF(E260="","UNPAID","PAID"))</f>
        <v/>
      </c>
      <c r="G260">
        <f>IF(OR(A260="",F260="PAID"),"",'Leak Report'!$B$3-C260)</f>
        <v/>
      </c>
      <c r="H260">
        <f>IF(G260="","",IF(G260&lt;=30,"0-30",IF(G260&lt;=60,"31-60",IF(G260&lt;=90,"61-90","90+"))))</f>
        <v/>
      </c>
    </row>
    <row r="261">
      <c r="F261" s="14">
        <f>IF(A261="","",IF(E261="","UNPAID","PAID"))</f>
        <v/>
      </c>
      <c r="G261">
        <f>IF(OR(A261="",F261="PAID"),"",'Leak Report'!$B$3-C261)</f>
        <v/>
      </c>
      <c r="H261">
        <f>IF(G261="","",IF(G261&lt;=30,"0-30",IF(G261&lt;=60,"31-60",IF(G261&lt;=90,"61-90","90+"))))</f>
        <v/>
      </c>
    </row>
    <row r="262">
      <c r="F262" s="14">
        <f>IF(A262="","",IF(E262="","UNPAID","PAID"))</f>
        <v/>
      </c>
      <c r="G262">
        <f>IF(OR(A262="",F262="PAID"),"",'Leak Report'!$B$3-C262)</f>
        <v/>
      </c>
      <c r="H262">
        <f>IF(G262="","",IF(G262&lt;=30,"0-30",IF(G262&lt;=60,"31-60",IF(G262&lt;=90,"61-90","90+"))))</f>
        <v/>
      </c>
    </row>
    <row r="263">
      <c r="F263" s="14">
        <f>IF(A263="","",IF(E263="","UNPAID","PAID"))</f>
        <v/>
      </c>
      <c r="G263">
        <f>IF(OR(A263="",F263="PAID"),"",'Leak Report'!$B$3-C263)</f>
        <v/>
      </c>
      <c r="H263">
        <f>IF(G263="","",IF(G263&lt;=30,"0-30",IF(G263&lt;=60,"31-60",IF(G263&lt;=90,"61-90","90+"))))</f>
        <v/>
      </c>
    </row>
    <row r="264">
      <c r="F264" s="14">
        <f>IF(A264="","",IF(E264="","UNPAID","PAID"))</f>
        <v/>
      </c>
      <c r="G264">
        <f>IF(OR(A264="",F264="PAID"),"",'Leak Report'!$B$3-C264)</f>
        <v/>
      </c>
      <c r="H264">
        <f>IF(G264="","",IF(G264&lt;=30,"0-30",IF(G264&lt;=60,"31-60",IF(G264&lt;=90,"61-90","90+"))))</f>
        <v/>
      </c>
    </row>
    <row r="265">
      <c r="F265" s="14">
        <f>IF(A265="","",IF(E265="","UNPAID","PAID"))</f>
        <v/>
      </c>
      <c r="G265">
        <f>IF(OR(A265="",F265="PAID"),"",'Leak Report'!$B$3-C265)</f>
        <v/>
      </c>
      <c r="H265">
        <f>IF(G265="","",IF(G265&lt;=30,"0-30",IF(G265&lt;=60,"31-60",IF(G265&lt;=90,"61-90","90+"))))</f>
        <v/>
      </c>
    </row>
    <row r="266">
      <c r="F266" s="14">
        <f>IF(A266="","",IF(E266="","UNPAID","PAID"))</f>
        <v/>
      </c>
      <c r="G266">
        <f>IF(OR(A266="",F266="PAID"),"",'Leak Report'!$B$3-C266)</f>
        <v/>
      </c>
      <c r="H266">
        <f>IF(G266="","",IF(G266&lt;=30,"0-30",IF(G266&lt;=60,"31-60",IF(G266&lt;=90,"61-90","90+"))))</f>
        <v/>
      </c>
    </row>
    <row r="267">
      <c r="F267" s="14">
        <f>IF(A267="","",IF(E267="","UNPAID","PAID"))</f>
        <v/>
      </c>
      <c r="G267">
        <f>IF(OR(A267="",F267="PAID"),"",'Leak Report'!$B$3-C267)</f>
        <v/>
      </c>
      <c r="H267">
        <f>IF(G267="","",IF(G267&lt;=30,"0-30",IF(G267&lt;=60,"31-60",IF(G267&lt;=90,"61-90","90+"))))</f>
        <v/>
      </c>
    </row>
    <row r="268">
      <c r="F268" s="14">
        <f>IF(A268="","",IF(E268="","UNPAID","PAID"))</f>
        <v/>
      </c>
      <c r="G268">
        <f>IF(OR(A268="",F268="PAID"),"",'Leak Report'!$B$3-C268)</f>
        <v/>
      </c>
      <c r="H268">
        <f>IF(G268="","",IF(G268&lt;=30,"0-30",IF(G268&lt;=60,"31-60",IF(G268&lt;=90,"61-90","90+"))))</f>
        <v/>
      </c>
    </row>
    <row r="269">
      <c r="F269" s="14">
        <f>IF(A269="","",IF(E269="","UNPAID","PAID"))</f>
        <v/>
      </c>
      <c r="G269">
        <f>IF(OR(A269="",F269="PAID"),"",'Leak Report'!$B$3-C269)</f>
        <v/>
      </c>
      <c r="H269">
        <f>IF(G269="","",IF(G269&lt;=30,"0-30",IF(G269&lt;=60,"31-60",IF(G269&lt;=90,"61-90","90+"))))</f>
        <v/>
      </c>
    </row>
    <row r="270">
      <c r="F270" s="14">
        <f>IF(A270="","",IF(E270="","UNPAID","PAID"))</f>
        <v/>
      </c>
      <c r="G270">
        <f>IF(OR(A270="",F270="PAID"),"",'Leak Report'!$B$3-C270)</f>
        <v/>
      </c>
      <c r="H270">
        <f>IF(G270="","",IF(G270&lt;=30,"0-30",IF(G270&lt;=60,"31-60",IF(G270&lt;=90,"61-90","90+"))))</f>
        <v/>
      </c>
    </row>
    <row r="271">
      <c r="F271" s="14">
        <f>IF(A271="","",IF(E271="","UNPAID","PAID"))</f>
        <v/>
      </c>
      <c r="G271">
        <f>IF(OR(A271="",F271="PAID"),"",'Leak Report'!$B$3-C271)</f>
        <v/>
      </c>
      <c r="H271">
        <f>IF(G271="","",IF(G271&lt;=30,"0-30",IF(G271&lt;=60,"31-60",IF(G271&lt;=90,"61-90","90+"))))</f>
        <v/>
      </c>
    </row>
    <row r="272">
      <c r="F272" s="14">
        <f>IF(A272="","",IF(E272="","UNPAID","PAID"))</f>
        <v/>
      </c>
      <c r="G272">
        <f>IF(OR(A272="",F272="PAID"),"",'Leak Report'!$B$3-C272)</f>
        <v/>
      </c>
      <c r="H272">
        <f>IF(G272="","",IF(G272&lt;=30,"0-30",IF(G272&lt;=60,"31-60",IF(G272&lt;=90,"61-90","90+"))))</f>
        <v/>
      </c>
    </row>
    <row r="273">
      <c r="F273" s="14">
        <f>IF(A273="","",IF(E273="","UNPAID","PAID"))</f>
        <v/>
      </c>
      <c r="G273">
        <f>IF(OR(A273="",F273="PAID"),"",'Leak Report'!$B$3-C273)</f>
        <v/>
      </c>
      <c r="H273">
        <f>IF(G273="","",IF(G273&lt;=30,"0-30",IF(G273&lt;=60,"31-60",IF(G273&lt;=90,"61-90","90+"))))</f>
        <v/>
      </c>
    </row>
    <row r="274">
      <c r="F274" s="14">
        <f>IF(A274="","",IF(E274="","UNPAID","PAID"))</f>
        <v/>
      </c>
      <c r="G274">
        <f>IF(OR(A274="",F274="PAID"),"",'Leak Report'!$B$3-C274)</f>
        <v/>
      </c>
      <c r="H274">
        <f>IF(G274="","",IF(G274&lt;=30,"0-30",IF(G274&lt;=60,"31-60",IF(G274&lt;=90,"61-90","90+"))))</f>
        <v/>
      </c>
    </row>
    <row r="275">
      <c r="F275" s="14">
        <f>IF(A275="","",IF(E275="","UNPAID","PAID"))</f>
        <v/>
      </c>
      <c r="G275">
        <f>IF(OR(A275="",F275="PAID"),"",'Leak Report'!$B$3-C275)</f>
        <v/>
      </c>
      <c r="H275">
        <f>IF(G275="","",IF(G275&lt;=30,"0-30",IF(G275&lt;=60,"31-60",IF(G275&lt;=90,"61-90","90+"))))</f>
        <v/>
      </c>
    </row>
    <row r="276">
      <c r="F276" s="14">
        <f>IF(A276="","",IF(E276="","UNPAID","PAID"))</f>
        <v/>
      </c>
      <c r="G276">
        <f>IF(OR(A276="",F276="PAID"),"",'Leak Report'!$B$3-C276)</f>
        <v/>
      </c>
      <c r="H276">
        <f>IF(G276="","",IF(G276&lt;=30,"0-30",IF(G276&lt;=60,"31-60",IF(G276&lt;=90,"61-90","90+"))))</f>
        <v/>
      </c>
    </row>
    <row r="277">
      <c r="F277" s="14">
        <f>IF(A277="","",IF(E277="","UNPAID","PAID"))</f>
        <v/>
      </c>
      <c r="G277">
        <f>IF(OR(A277="",F277="PAID"),"",'Leak Report'!$B$3-C277)</f>
        <v/>
      </c>
      <c r="H277">
        <f>IF(G277="","",IF(G277&lt;=30,"0-30",IF(G277&lt;=60,"31-60",IF(G277&lt;=90,"61-90","90+"))))</f>
        <v/>
      </c>
    </row>
    <row r="278">
      <c r="F278" s="14">
        <f>IF(A278="","",IF(E278="","UNPAID","PAID"))</f>
        <v/>
      </c>
      <c r="G278">
        <f>IF(OR(A278="",F278="PAID"),"",'Leak Report'!$B$3-C278)</f>
        <v/>
      </c>
      <c r="H278">
        <f>IF(G278="","",IF(G278&lt;=30,"0-30",IF(G278&lt;=60,"31-60",IF(G278&lt;=90,"61-90","90+"))))</f>
        <v/>
      </c>
    </row>
    <row r="279">
      <c r="F279" s="14">
        <f>IF(A279="","",IF(E279="","UNPAID","PAID"))</f>
        <v/>
      </c>
      <c r="G279">
        <f>IF(OR(A279="",F279="PAID"),"",'Leak Report'!$B$3-C279)</f>
        <v/>
      </c>
      <c r="H279">
        <f>IF(G279="","",IF(G279&lt;=30,"0-30",IF(G279&lt;=60,"31-60",IF(G279&lt;=90,"61-90","90+"))))</f>
        <v/>
      </c>
    </row>
    <row r="280">
      <c r="F280" s="14">
        <f>IF(A280="","",IF(E280="","UNPAID","PAID"))</f>
        <v/>
      </c>
      <c r="G280">
        <f>IF(OR(A280="",F280="PAID"),"",'Leak Report'!$B$3-C280)</f>
        <v/>
      </c>
      <c r="H280">
        <f>IF(G280="","",IF(G280&lt;=30,"0-30",IF(G280&lt;=60,"31-60",IF(G280&lt;=90,"61-90","90+"))))</f>
        <v/>
      </c>
    </row>
    <row r="281">
      <c r="F281" s="14">
        <f>IF(A281="","",IF(E281="","UNPAID","PAID"))</f>
        <v/>
      </c>
      <c r="G281">
        <f>IF(OR(A281="",F281="PAID"),"",'Leak Report'!$B$3-C281)</f>
        <v/>
      </c>
      <c r="H281">
        <f>IF(G281="","",IF(G281&lt;=30,"0-30",IF(G281&lt;=60,"31-60",IF(G281&lt;=90,"61-90","90+"))))</f>
        <v/>
      </c>
    </row>
    <row r="282">
      <c r="F282" s="14">
        <f>IF(A282="","",IF(E282="","UNPAID","PAID"))</f>
        <v/>
      </c>
      <c r="G282">
        <f>IF(OR(A282="",F282="PAID"),"",'Leak Report'!$B$3-C282)</f>
        <v/>
      </c>
      <c r="H282">
        <f>IF(G282="","",IF(G282&lt;=30,"0-30",IF(G282&lt;=60,"31-60",IF(G282&lt;=90,"61-90","90+"))))</f>
        <v/>
      </c>
    </row>
    <row r="283">
      <c r="F283" s="14">
        <f>IF(A283="","",IF(E283="","UNPAID","PAID"))</f>
        <v/>
      </c>
      <c r="G283">
        <f>IF(OR(A283="",F283="PAID"),"",'Leak Report'!$B$3-C283)</f>
        <v/>
      </c>
      <c r="H283">
        <f>IF(G283="","",IF(G283&lt;=30,"0-30",IF(G283&lt;=60,"31-60",IF(G283&lt;=90,"61-90","90+"))))</f>
        <v/>
      </c>
    </row>
    <row r="284">
      <c r="F284" s="14">
        <f>IF(A284="","",IF(E284="","UNPAID","PAID"))</f>
        <v/>
      </c>
      <c r="G284">
        <f>IF(OR(A284="",F284="PAID"),"",'Leak Report'!$B$3-C284)</f>
        <v/>
      </c>
      <c r="H284">
        <f>IF(G284="","",IF(G284&lt;=30,"0-30",IF(G284&lt;=60,"31-60",IF(G284&lt;=90,"61-90","90+"))))</f>
        <v/>
      </c>
    </row>
    <row r="285">
      <c r="F285" s="14">
        <f>IF(A285="","",IF(E285="","UNPAID","PAID"))</f>
        <v/>
      </c>
      <c r="G285">
        <f>IF(OR(A285="",F285="PAID"),"",'Leak Report'!$B$3-C285)</f>
        <v/>
      </c>
      <c r="H285">
        <f>IF(G285="","",IF(G285&lt;=30,"0-30",IF(G285&lt;=60,"31-60",IF(G285&lt;=90,"61-90","90+"))))</f>
        <v/>
      </c>
    </row>
    <row r="286">
      <c r="F286" s="14">
        <f>IF(A286="","",IF(E286="","UNPAID","PAID"))</f>
        <v/>
      </c>
      <c r="G286">
        <f>IF(OR(A286="",F286="PAID"),"",'Leak Report'!$B$3-C286)</f>
        <v/>
      </c>
      <c r="H286">
        <f>IF(G286="","",IF(G286&lt;=30,"0-30",IF(G286&lt;=60,"31-60",IF(G286&lt;=90,"61-90","90+"))))</f>
        <v/>
      </c>
    </row>
    <row r="287">
      <c r="F287" s="14">
        <f>IF(A287="","",IF(E287="","UNPAID","PAID"))</f>
        <v/>
      </c>
      <c r="G287">
        <f>IF(OR(A287="",F287="PAID"),"",'Leak Report'!$B$3-C287)</f>
        <v/>
      </c>
      <c r="H287">
        <f>IF(G287="","",IF(G287&lt;=30,"0-30",IF(G287&lt;=60,"31-60",IF(G287&lt;=90,"61-90","90+"))))</f>
        <v/>
      </c>
    </row>
    <row r="288">
      <c r="F288" s="14">
        <f>IF(A288="","",IF(E288="","UNPAID","PAID"))</f>
        <v/>
      </c>
      <c r="G288">
        <f>IF(OR(A288="",F288="PAID"),"",'Leak Report'!$B$3-C288)</f>
        <v/>
      </c>
      <c r="H288">
        <f>IF(G288="","",IF(G288&lt;=30,"0-30",IF(G288&lt;=60,"31-60",IF(G288&lt;=90,"61-90","90+"))))</f>
        <v/>
      </c>
    </row>
    <row r="289">
      <c r="F289" s="14">
        <f>IF(A289="","",IF(E289="","UNPAID","PAID"))</f>
        <v/>
      </c>
      <c r="G289">
        <f>IF(OR(A289="",F289="PAID"),"",'Leak Report'!$B$3-C289)</f>
        <v/>
      </c>
      <c r="H289">
        <f>IF(G289="","",IF(G289&lt;=30,"0-30",IF(G289&lt;=60,"31-60",IF(G289&lt;=90,"61-90","90+"))))</f>
        <v/>
      </c>
    </row>
    <row r="290">
      <c r="F290" s="14">
        <f>IF(A290="","",IF(E290="","UNPAID","PAID"))</f>
        <v/>
      </c>
      <c r="G290">
        <f>IF(OR(A290="",F290="PAID"),"",'Leak Report'!$B$3-C290)</f>
        <v/>
      </c>
      <c r="H290">
        <f>IF(G290="","",IF(G290&lt;=30,"0-30",IF(G290&lt;=60,"31-60",IF(G290&lt;=90,"61-90","90+"))))</f>
        <v/>
      </c>
    </row>
    <row r="291">
      <c r="F291" s="14">
        <f>IF(A291="","",IF(E291="","UNPAID","PAID"))</f>
        <v/>
      </c>
      <c r="G291">
        <f>IF(OR(A291="",F291="PAID"),"",'Leak Report'!$B$3-C291)</f>
        <v/>
      </c>
      <c r="H291">
        <f>IF(G291="","",IF(G291&lt;=30,"0-30",IF(G291&lt;=60,"31-60",IF(G291&lt;=90,"61-90","90+"))))</f>
        <v/>
      </c>
    </row>
    <row r="292">
      <c r="F292" s="14">
        <f>IF(A292="","",IF(E292="","UNPAID","PAID"))</f>
        <v/>
      </c>
      <c r="G292">
        <f>IF(OR(A292="",F292="PAID"),"",'Leak Report'!$B$3-C292)</f>
        <v/>
      </c>
      <c r="H292">
        <f>IF(G292="","",IF(G292&lt;=30,"0-30",IF(G292&lt;=60,"31-60",IF(G292&lt;=90,"61-90","90+"))))</f>
        <v/>
      </c>
    </row>
    <row r="293">
      <c r="F293" s="14">
        <f>IF(A293="","",IF(E293="","UNPAID","PAID"))</f>
        <v/>
      </c>
      <c r="G293">
        <f>IF(OR(A293="",F293="PAID"),"",'Leak Report'!$B$3-C293)</f>
        <v/>
      </c>
      <c r="H293">
        <f>IF(G293="","",IF(G293&lt;=30,"0-30",IF(G293&lt;=60,"31-60",IF(G293&lt;=90,"61-90","90+"))))</f>
        <v/>
      </c>
    </row>
    <row r="294">
      <c r="F294" s="14">
        <f>IF(A294="","",IF(E294="","UNPAID","PAID"))</f>
        <v/>
      </c>
      <c r="G294">
        <f>IF(OR(A294="",F294="PAID"),"",'Leak Report'!$B$3-C294)</f>
        <v/>
      </c>
      <c r="H294">
        <f>IF(G294="","",IF(G294&lt;=30,"0-30",IF(G294&lt;=60,"31-60",IF(G294&lt;=90,"61-90","90+"))))</f>
        <v/>
      </c>
    </row>
    <row r="295">
      <c r="F295" s="14">
        <f>IF(A295="","",IF(E295="","UNPAID","PAID"))</f>
        <v/>
      </c>
      <c r="G295">
        <f>IF(OR(A295="",F295="PAID"),"",'Leak Report'!$B$3-C295)</f>
        <v/>
      </c>
      <c r="H295">
        <f>IF(G295="","",IF(G295&lt;=30,"0-30",IF(G295&lt;=60,"31-60",IF(G295&lt;=90,"61-90","90+"))))</f>
        <v/>
      </c>
    </row>
    <row r="296">
      <c r="F296" s="14">
        <f>IF(A296="","",IF(E296="","UNPAID","PAID"))</f>
        <v/>
      </c>
      <c r="G296">
        <f>IF(OR(A296="",F296="PAID"),"",'Leak Report'!$B$3-C296)</f>
        <v/>
      </c>
      <c r="H296">
        <f>IF(G296="","",IF(G296&lt;=30,"0-30",IF(G296&lt;=60,"31-60",IF(G296&lt;=90,"61-90","90+"))))</f>
        <v/>
      </c>
    </row>
    <row r="297">
      <c r="F297" s="14">
        <f>IF(A297="","",IF(E297="","UNPAID","PAID"))</f>
        <v/>
      </c>
      <c r="G297">
        <f>IF(OR(A297="",F297="PAID"),"",'Leak Report'!$B$3-C297)</f>
        <v/>
      </c>
      <c r="H297">
        <f>IF(G297="","",IF(G297&lt;=30,"0-30",IF(G297&lt;=60,"31-60",IF(G297&lt;=90,"61-90","90+"))))</f>
        <v/>
      </c>
    </row>
    <row r="298">
      <c r="F298" s="14">
        <f>IF(A298="","",IF(E298="","UNPAID","PAID"))</f>
        <v/>
      </c>
      <c r="G298">
        <f>IF(OR(A298="",F298="PAID"),"",'Leak Report'!$B$3-C298)</f>
        <v/>
      </c>
      <c r="H298">
        <f>IF(G298="","",IF(G298&lt;=30,"0-30",IF(G298&lt;=60,"31-60",IF(G298&lt;=90,"61-90","90+"))))</f>
        <v/>
      </c>
    </row>
    <row r="299">
      <c r="F299" s="14">
        <f>IF(A299="","",IF(E299="","UNPAID","PAID"))</f>
        <v/>
      </c>
      <c r="G299">
        <f>IF(OR(A299="",F299="PAID"),"",'Leak Report'!$B$3-C299)</f>
        <v/>
      </c>
      <c r="H299">
        <f>IF(G299="","",IF(G299&lt;=30,"0-30",IF(G299&lt;=60,"31-60",IF(G299&lt;=90,"61-90","90+"))))</f>
        <v/>
      </c>
    </row>
    <row r="300">
      <c r="F300" s="14">
        <f>IF(A300="","",IF(E300="","UNPAID","PAID"))</f>
        <v/>
      </c>
      <c r="G300">
        <f>IF(OR(A300="",F300="PAID"),"",'Leak Report'!$B$3-C300)</f>
        <v/>
      </c>
      <c r="H300">
        <f>IF(G300="","",IF(G300&lt;=30,"0-30",IF(G300&lt;=60,"31-60",IF(G300&lt;=90,"61-90","90+"))))</f>
        <v/>
      </c>
    </row>
    <row r="302">
      <c r="C302" s="14" t="inlineStr">
        <is>
          <t>TOTAL INVOICED $</t>
        </is>
      </c>
      <c r="D302" s="15">
        <f>SUM(D4:D300)</f>
        <v/>
      </c>
    </row>
    <row r="304">
      <c r="A304" s="5" t="inlineStr">
        <is>
          <t>Template by Automated Workflow · automatedworkflowllc.com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8" customWidth="1" min="3" max="3"/>
    <col width="12" customWidth="1" min="4" max="4"/>
    <col width="12" customWidth="1" min="5" max="5"/>
    <col width="12" customWidth="1" min="6" max="6"/>
  </cols>
  <sheetData>
    <row r="1" ht="28" customHeight="1">
      <c r="A1" s="6" t="inlineStr">
        <is>
          <t>LEAK REPORT · only the mismatches</t>
        </is>
      </c>
      <c r="B1" s="2" t="n"/>
      <c r="C1" s="2" t="n"/>
      <c r="D1" s="2" t="n"/>
      <c r="E1" s="2" t="n"/>
      <c r="F1" s="2" t="n"/>
    </row>
    <row r="3">
      <c r="A3" s="26" t="inlineStr">
        <is>
          <t>As-of date →</t>
        </is>
      </c>
      <c r="B3" s="27" t="n">
        <v>46231</v>
      </c>
      <c r="C3" s="28" t="inlineStr">
        <is>
          <t>type a date, or enter =TODAY() to self-update</t>
        </is>
      </c>
    </row>
    <row r="5">
      <c r="A5" s="29" t="inlineStr">
        <is>
          <t>COMPLETED, NEVER INVOICED $</t>
        </is>
      </c>
      <c r="B5" s="12" t="n"/>
      <c r="C5" s="30">
        <f>SUMIF('Work Log'!F4:F300,"NEVER BILLED",'Work Log'!E4:E300)</f>
        <v/>
      </c>
      <c r="D5" s="12" t="n"/>
    </row>
    <row r="6">
      <c r="A6" s="31" t="inlineStr">
        <is>
          <t>INVOICED, STILL UNPAID $</t>
        </is>
      </c>
      <c r="B6" s="32" t="n"/>
      <c r="C6" s="33">
        <f>SUMIF(Invoices!F4:F300,"UNPAID",Invoices!D4:D300)</f>
        <v/>
      </c>
      <c r="D6" s="32" t="n"/>
    </row>
    <row r="7">
      <c r="A7" s="29" t="inlineStr">
        <is>
          <t>UNPAID &amp; PAST 60 DAYS $</t>
        </is>
      </c>
      <c r="B7" s="12" t="n"/>
      <c r="C7" s="30">
        <f>SUMIFS(Invoices!D4:D300,Invoices!F4:F300,"UNPAID",Invoices!G4:G300,"&gt;60")</f>
        <v/>
      </c>
      <c r="D7" s="12" t="n"/>
    </row>
    <row r="9">
      <c r="A9" s="11" t="inlineStr">
        <is>
          <t>JOBS COMPLETED BUT NEVER INVOICED (needs Google Sheets or Excel 365 — see How To Use)</t>
        </is>
      </c>
    </row>
    <row r="10">
      <c r="A10">
        <f>IFERROR(FILTER('Work Log'!A4:E300,'Work Log'!F4:F300="NEVER BILLED"),"— none —")</f>
        <v/>
      </c>
    </row>
    <row r="16">
      <c r="A16" s="34" t="inlineStr">
        <is>
          <t>UNPAID INVOICES, OLDEST FIRST — sort/filter the Invoices tab by the Bucket column</t>
        </is>
      </c>
    </row>
    <row r="18">
      <c r="A18" s="7" t="inlineStr">
        <is>
          <t>Every figure on this tab recalculates from your data. Sample data is invented.</t>
        </is>
      </c>
    </row>
    <row r="20">
      <c r="A20" s="5" t="inlineStr">
        <is>
          <t>Template by Automated Workflow · automatedworkflowllc.com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2026-08-06T18:13:02Z</dcterms:created>
  <dcterms:modified xmlns:dcterms="http://purl.org/dc/terms/" xmlns:xsi="http://www.w3.org/2001/XMLSchema-instance" xsi:type="dcterms:W3CDTF">2026-08-06T18:13:02Z</dcterms:modified>
</cp:coreProperties>
</file>